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Streamlit Github WTO Database\Trade Observatory\WTO App\"/>
    </mc:Choice>
  </mc:AlternateContent>
  <xr:revisionPtr revIDLastSave="0" documentId="13_ncr:1_{7CABC839-F460-44A2-A6B0-C9507E23CEB1}" xr6:coauthVersionLast="47" xr6:coauthVersionMax="47" xr10:uidLastSave="{00000000-0000-0000-0000-000000000000}"/>
  <bookViews>
    <workbookView xWindow="-120" yWindow="-120" windowWidth="20730" windowHeight="11040" xr2:uid="{00000000-000D-0000-FFFF-FFFF00000000}"/>
  </bookViews>
  <sheets>
    <sheet name="Database" sheetId="1" r:id="rId1"/>
    <sheet name="Domain" sheetId="6" r:id="rId2"/>
    <sheet name="Governance Dimension_Topics" sheetId="2" r:id="rId3"/>
  </sheets>
  <externalReferences>
    <externalReference r:id="rId4"/>
  </externalReferences>
  <definedNames>
    <definedName name="_xlnm._FilterDatabase" localSheetId="0" hidden="1">Database!$A$1:$Y$230</definedName>
    <definedName name="_xlnm._FilterDatabase" localSheetId="2" hidden="1">'Governance Dimension_Topics'!$B$2:$E$2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4" i="1" l="1"/>
  <c r="R233" i="1"/>
  <c r="R232" i="1"/>
  <c r="R231" i="1"/>
  <c r="P234" i="1"/>
  <c r="P233" i="1"/>
  <c r="P232" i="1"/>
  <c r="P231" i="1"/>
  <c r="N234" i="1"/>
  <c r="N233" i="1"/>
  <c r="N232" i="1"/>
  <c r="N231" i="1"/>
  <c r="V226" i="1"/>
  <c r="T226" i="1"/>
  <c r="R226" i="1"/>
  <c r="P226" i="1"/>
  <c r="N226" i="1"/>
  <c r="V227" i="1"/>
  <c r="V224" i="1"/>
  <c r="V223" i="1"/>
  <c r="V222" i="1"/>
  <c r="V219" i="1"/>
  <c r="V217" i="1"/>
  <c r="V214" i="1"/>
  <c r="V213" i="1"/>
  <c r="V212" i="1"/>
  <c r="V209" i="1"/>
  <c r="V208" i="1"/>
  <c r="T229" i="1"/>
  <c r="T228" i="1"/>
  <c r="T227" i="1"/>
  <c r="T225" i="1"/>
  <c r="T224" i="1"/>
  <c r="T223" i="1"/>
  <c r="T222" i="1"/>
  <c r="T220" i="1"/>
  <c r="T219" i="1"/>
  <c r="T217" i="1"/>
  <c r="T215" i="1"/>
  <c r="T214" i="1"/>
  <c r="T213" i="1"/>
  <c r="T212" i="1"/>
  <c r="T209" i="1"/>
  <c r="T208" i="1"/>
  <c r="R229" i="1"/>
  <c r="R228" i="1"/>
  <c r="R227" i="1"/>
  <c r="R225" i="1"/>
  <c r="R224" i="1"/>
  <c r="R223" i="1"/>
  <c r="R222" i="1"/>
  <c r="R221" i="1"/>
  <c r="R220" i="1"/>
  <c r="R219" i="1"/>
  <c r="R217" i="1"/>
  <c r="R216" i="1"/>
  <c r="R215" i="1"/>
  <c r="R214" i="1"/>
  <c r="R213" i="1"/>
  <c r="R212" i="1"/>
  <c r="R211" i="1"/>
  <c r="R209" i="1"/>
  <c r="R208" i="1"/>
  <c r="P229" i="1"/>
  <c r="P228" i="1"/>
  <c r="P227" i="1"/>
  <c r="P225" i="1"/>
  <c r="P224" i="1"/>
  <c r="P223" i="1"/>
  <c r="P222" i="1"/>
  <c r="P221" i="1"/>
  <c r="P220" i="1"/>
  <c r="P219" i="1"/>
  <c r="P218" i="1"/>
  <c r="P217" i="1"/>
  <c r="P216" i="1"/>
  <c r="P215" i="1"/>
  <c r="P214" i="1"/>
  <c r="P213" i="1"/>
  <c r="P212" i="1"/>
  <c r="P211" i="1"/>
  <c r="P210" i="1"/>
  <c r="P209" i="1"/>
  <c r="P208" i="1"/>
  <c r="N230" i="1"/>
  <c r="N229" i="1"/>
  <c r="N228" i="1"/>
  <c r="N227" i="1"/>
  <c r="N225" i="1"/>
  <c r="N224" i="1"/>
  <c r="N223" i="1"/>
  <c r="N222" i="1"/>
  <c r="N221" i="1"/>
  <c r="N220" i="1"/>
  <c r="N219" i="1"/>
  <c r="N218" i="1"/>
  <c r="N217" i="1"/>
  <c r="N216" i="1"/>
  <c r="N215" i="1"/>
  <c r="N214" i="1"/>
  <c r="N213" i="1"/>
  <c r="N212" i="1"/>
  <c r="N211" i="1"/>
  <c r="N210" i="1"/>
  <c r="N209" i="1"/>
  <c r="N208" i="1"/>
  <c r="V203" i="1"/>
  <c r="V199" i="1"/>
  <c r="V196" i="1"/>
  <c r="V195" i="1"/>
  <c r="V191" i="1"/>
  <c r="V190" i="1"/>
  <c r="V189" i="1"/>
  <c r="V187" i="1"/>
  <c r="V180" i="1"/>
  <c r="T207" i="1"/>
  <c r="T206" i="1"/>
  <c r="T203" i="1"/>
  <c r="T199" i="1"/>
  <c r="T196" i="1"/>
  <c r="T195" i="1"/>
  <c r="T191" i="1"/>
  <c r="T190" i="1"/>
  <c r="T189" i="1"/>
  <c r="T187" i="1"/>
  <c r="T184" i="1"/>
  <c r="T180" i="1"/>
  <c r="R207" i="1"/>
  <c r="R206" i="1"/>
  <c r="R205" i="1"/>
  <c r="R203" i="1"/>
  <c r="R201" i="1"/>
  <c r="R200" i="1"/>
  <c r="R199" i="1"/>
  <c r="R197" i="1"/>
  <c r="R196" i="1"/>
  <c r="R195" i="1"/>
  <c r="R194" i="1"/>
  <c r="R193" i="1"/>
  <c r="R191" i="1"/>
  <c r="R190" i="1"/>
  <c r="R189" i="1"/>
  <c r="R188" i="1"/>
  <c r="R187" i="1"/>
  <c r="R185" i="1"/>
  <c r="R184" i="1"/>
  <c r="R183" i="1"/>
  <c r="R182" i="1"/>
  <c r="R181" i="1"/>
  <c r="R180"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V177" i="1"/>
  <c r="V174" i="1"/>
  <c r="V172" i="1"/>
  <c r="V169" i="1"/>
  <c r="T177" i="1"/>
  <c r="T174" i="1"/>
  <c r="T172" i="1"/>
  <c r="T170" i="1"/>
  <c r="T169" i="1"/>
  <c r="R179" i="1"/>
  <c r="R178" i="1"/>
  <c r="R177" i="1"/>
  <c r="R176" i="1"/>
  <c r="R175" i="1"/>
  <c r="R174" i="1"/>
  <c r="R173" i="1"/>
  <c r="R172" i="1"/>
  <c r="R171" i="1"/>
  <c r="R170" i="1"/>
  <c r="R169" i="1"/>
  <c r="P179" i="1"/>
  <c r="P178" i="1"/>
  <c r="P177" i="1"/>
  <c r="P176" i="1"/>
  <c r="P175" i="1"/>
  <c r="P174" i="1"/>
  <c r="P173" i="1"/>
  <c r="P172" i="1"/>
  <c r="P171" i="1"/>
  <c r="P170" i="1"/>
  <c r="P169" i="1"/>
  <c r="N179" i="1"/>
  <c r="N178" i="1"/>
  <c r="N177" i="1"/>
  <c r="N176" i="1"/>
  <c r="N175" i="1"/>
  <c r="N174" i="1"/>
  <c r="N173" i="1"/>
  <c r="N172" i="1"/>
  <c r="N171" i="1"/>
  <c r="N170" i="1"/>
  <c r="N169" i="1"/>
  <c r="T89" i="1"/>
  <c r="R89" i="1"/>
  <c r="P89" i="1"/>
  <c r="N89" i="1"/>
  <c r="P84" i="1"/>
  <c r="N84" i="1"/>
  <c r="R100" i="1"/>
  <c r="T97" i="1"/>
  <c r="V97" i="1"/>
  <c r="R101" i="1"/>
  <c r="R97" i="1"/>
  <c r="N97" i="1"/>
  <c r="P97" i="1"/>
  <c r="V157" i="1"/>
  <c r="V153" i="1"/>
  <c r="V142" i="1"/>
  <c r="V138" i="1"/>
  <c r="V132" i="1"/>
  <c r="T168" i="1"/>
  <c r="T165" i="1"/>
  <c r="T164" i="1"/>
  <c r="T162" i="1"/>
  <c r="T161" i="1"/>
  <c r="T160" i="1"/>
  <c r="T159" i="1"/>
  <c r="T158" i="1"/>
  <c r="T157" i="1"/>
  <c r="T155" i="1"/>
  <c r="T154" i="1"/>
  <c r="T153" i="1"/>
  <c r="T152" i="1"/>
  <c r="T151" i="1"/>
  <c r="T149" i="1"/>
  <c r="T148" i="1"/>
  <c r="T147" i="1"/>
  <c r="T146" i="1"/>
  <c r="T145" i="1"/>
  <c r="T143" i="1"/>
  <c r="T142" i="1"/>
  <c r="T141" i="1"/>
  <c r="T138" i="1"/>
  <c r="T132" i="1"/>
  <c r="R168" i="1"/>
  <c r="R166" i="1"/>
  <c r="R165" i="1"/>
  <c r="R164" i="1"/>
  <c r="R163" i="1"/>
  <c r="R162" i="1"/>
  <c r="R161" i="1"/>
  <c r="R160" i="1"/>
  <c r="R159" i="1"/>
  <c r="R158" i="1"/>
  <c r="R157" i="1"/>
  <c r="R156" i="1"/>
  <c r="R155" i="1"/>
  <c r="R154" i="1"/>
  <c r="R153" i="1"/>
  <c r="R152" i="1"/>
  <c r="R151" i="1"/>
  <c r="R149" i="1"/>
  <c r="R148" i="1"/>
  <c r="R147" i="1"/>
  <c r="R146" i="1"/>
  <c r="R145" i="1"/>
  <c r="R144" i="1"/>
  <c r="R143" i="1"/>
  <c r="R142" i="1"/>
  <c r="R141" i="1"/>
  <c r="R140" i="1"/>
  <c r="R139" i="1"/>
  <c r="R138" i="1"/>
  <c r="R136" i="1"/>
  <c r="R134" i="1"/>
  <c r="R133" i="1"/>
  <c r="R132" i="1"/>
  <c r="R130" i="1"/>
  <c r="R12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4" i="1"/>
  <c r="P133" i="1"/>
  <c r="P132" i="1"/>
  <c r="P131" i="1"/>
  <c r="P130" i="1"/>
  <c r="P129" i="1"/>
  <c r="P128"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R127" i="1"/>
  <c r="P127" i="1"/>
  <c r="N127" i="1"/>
  <c r="V126" i="1"/>
  <c r="R126" i="1"/>
  <c r="N126" i="1"/>
  <c r="P126" i="1"/>
  <c r="T126" i="1"/>
  <c r="R125" i="1"/>
  <c r="P125" i="1"/>
  <c r="N125" i="1"/>
  <c r="V124" i="1"/>
  <c r="T124" i="1"/>
  <c r="R124" i="1"/>
  <c r="N124" i="1"/>
  <c r="P124" i="1"/>
  <c r="P123" i="1"/>
  <c r="N123" i="1"/>
  <c r="N122" i="1"/>
  <c r="N121" i="1"/>
  <c r="T120" i="1"/>
  <c r="R120" i="1"/>
  <c r="P120" i="1"/>
  <c r="N120" i="1"/>
  <c r="V119" i="1"/>
  <c r="T119" i="1"/>
  <c r="P119" i="1"/>
  <c r="R119" i="1"/>
  <c r="N119" i="1"/>
  <c r="N118" i="1"/>
  <c r="N117" i="1"/>
  <c r="N116" i="1"/>
  <c r="N115" i="1"/>
  <c r="P114" i="1"/>
  <c r="N114" i="1"/>
  <c r="N113" i="1"/>
  <c r="N112" i="1"/>
  <c r="P111" i="1"/>
  <c r="N111" i="1"/>
  <c r="N110" i="1"/>
  <c r="N109" i="1"/>
  <c r="P108" i="1"/>
  <c r="N108" i="1"/>
  <c r="N107" i="1"/>
  <c r="N106" i="1"/>
  <c r="N105" i="1"/>
  <c r="N104" i="1"/>
  <c r="N103" i="1"/>
  <c r="P102" i="1"/>
  <c r="N102" i="1"/>
  <c r="P101" i="1"/>
  <c r="N101" i="1"/>
  <c r="P100" i="1"/>
  <c r="N100" i="1"/>
  <c r="N99" i="1"/>
  <c r="R14" i="1"/>
  <c r="R12" i="1"/>
  <c r="R6" i="1"/>
  <c r="R4" i="1"/>
  <c r="R3" i="1"/>
  <c r="P44" i="1"/>
  <c r="P12" i="1"/>
  <c r="P11" i="1"/>
  <c r="P9" i="1"/>
  <c r="P8" i="1"/>
  <c r="N59" i="1"/>
  <c r="N58" i="1"/>
  <c r="N57" i="1"/>
  <c r="N56" i="1"/>
  <c r="N55" i="1"/>
  <c r="N54" i="1"/>
  <c r="N53" i="1"/>
  <c r="N52" i="1"/>
  <c r="N51" i="1"/>
  <c r="N50" i="1"/>
  <c r="N48" i="1"/>
  <c r="N47" i="1"/>
  <c r="N46" i="1"/>
  <c r="N45" i="1"/>
  <c r="N44" i="1"/>
  <c r="N43" i="1"/>
  <c r="N42" i="1"/>
  <c r="N41" i="1"/>
  <c r="N40" i="1"/>
  <c r="N39" i="1"/>
  <c r="N38" i="1"/>
  <c r="N37" i="1"/>
  <c r="N35" i="1"/>
  <c r="N33" i="1"/>
  <c r="N31" i="1"/>
  <c r="N30" i="1"/>
  <c r="N29" i="1"/>
  <c r="N28" i="1"/>
  <c r="N27" i="1"/>
  <c r="N26" i="1"/>
  <c r="N25" i="1"/>
  <c r="N24" i="1"/>
  <c r="N22" i="1"/>
  <c r="N21" i="1"/>
  <c r="N20" i="1"/>
  <c r="N19" i="1"/>
  <c r="N18" i="1"/>
  <c r="N17" i="1"/>
  <c r="N16" i="1"/>
  <c r="N15" i="1"/>
  <c r="N14" i="1"/>
  <c r="N13" i="1"/>
  <c r="N12" i="1"/>
  <c r="N11" i="1"/>
  <c r="N9" i="1"/>
  <c r="N8" i="1"/>
  <c r="N6" i="1"/>
  <c r="N5" i="1"/>
  <c r="N4" i="1"/>
  <c r="N3" i="1"/>
  <c r="N2" i="1"/>
  <c r="N71" i="1"/>
  <c r="N72" i="1"/>
  <c r="N73" i="1"/>
  <c r="N75" i="1"/>
  <c r="N86" i="1"/>
  <c r="N88" i="1"/>
  <c r="N91" i="1"/>
  <c r="R50" i="1"/>
  <c r="N93" i="1"/>
  <c r="P6" i="1"/>
  <c r="P4" i="1"/>
  <c r="P3" i="1"/>
  <c r="P2" i="1"/>
  <c r="P5" i="1"/>
  <c r="T5" i="1"/>
  <c r="R5" i="1"/>
  <c r="R2" i="1"/>
  <c r="N66" i="1"/>
  <c r="R53" i="1"/>
  <c r="N63" i="1"/>
  <c r="N67" i="1"/>
  <c r="P61" i="1"/>
  <c r="N61" i="1"/>
  <c r="P60" i="1"/>
  <c r="N60" i="1"/>
  <c r="P59" i="1"/>
  <c r="P58" i="1"/>
  <c r="R56" i="1"/>
  <c r="P56" i="1"/>
  <c r="P55" i="1"/>
  <c r="P48" i="1"/>
  <c r="R46" i="1"/>
  <c r="P46" i="1"/>
  <c r="R45" i="1"/>
  <c r="P45" i="1"/>
  <c r="R43" i="1"/>
  <c r="P43" i="1"/>
  <c r="R30" i="1"/>
  <c r="P31" i="1"/>
  <c r="P30" i="1"/>
  <c r="P29" i="1"/>
  <c r="R17" i="1"/>
  <c r="P73" i="1"/>
  <c r="P88" i="1"/>
  <c r="R75" i="1"/>
  <c r="P75" i="1"/>
  <c r="P71" i="1"/>
  <c r="P70" i="1"/>
  <c r="P69" i="1"/>
  <c r="N69" i="1"/>
  <c r="R66" i="1"/>
  <c r="P66" i="1"/>
  <c r="R63" i="1"/>
  <c r="P63" i="1"/>
  <c r="R54" i="1"/>
  <c r="P54" i="1"/>
  <c r="P53" i="1"/>
  <c r="R52" i="1"/>
  <c r="P52" i="1"/>
  <c r="P50" i="1"/>
  <c r="R41" i="1"/>
  <c r="P41" i="1"/>
  <c r="T40" i="1"/>
  <c r="R40" i="1"/>
  <c r="P40" i="1"/>
  <c r="T39" i="1"/>
  <c r="R39" i="1"/>
  <c r="P39" i="1"/>
  <c r="R38" i="1"/>
  <c r="P38" i="1"/>
  <c r="R37" i="1"/>
  <c r="P37" i="1"/>
  <c r="P35" i="1"/>
  <c r="R33" i="1"/>
  <c r="P33" i="1"/>
  <c r="R24" i="1"/>
  <c r="P24" i="1"/>
  <c r="P22" i="1"/>
  <c r="R21" i="1"/>
  <c r="P21" i="1"/>
  <c r="P20" i="1"/>
  <c r="P18" i="1"/>
  <c r="T17" i="1"/>
  <c r="P17" i="1"/>
  <c r="R16" i="1"/>
  <c r="P16" i="1"/>
  <c r="P14" i="1"/>
  <c r="P13" i="1"/>
  <c r="T12" i="1"/>
</calcChain>
</file>

<file path=xl/sharedStrings.xml><?xml version="1.0" encoding="utf-8"?>
<sst xmlns="http://schemas.openxmlformats.org/spreadsheetml/2006/main" count="3300" uniqueCount="439">
  <si>
    <t>Document_Symbol</t>
  </si>
  <si>
    <t>Date</t>
  </si>
  <si>
    <t>Title</t>
  </si>
  <si>
    <t>WTO_Forum</t>
  </si>
  <si>
    <t>Participant</t>
  </si>
  <si>
    <t>Governance function</t>
  </si>
  <si>
    <t>Measure</t>
  </si>
  <si>
    <t>Measure_Owner</t>
  </si>
  <si>
    <t>Governance Dimension 1</t>
  </si>
  <si>
    <t>Governance Topic 1</t>
  </si>
  <si>
    <t>Governance Dimension 2</t>
  </si>
  <si>
    <t>Governance Topic 2</t>
  </si>
  <si>
    <t>Governance Dimension 3</t>
  </si>
  <si>
    <t>Governance Topic 3</t>
  </si>
  <si>
    <t>Governance Dimension 4</t>
  </si>
  <si>
    <t>Governance Topic 4</t>
  </si>
  <si>
    <t>Governance Dimension 5</t>
  </si>
  <si>
    <t>Governance Topic 5</t>
  </si>
  <si>
    <t>Reference_Paragraph</t>
  </si>
  <si>
    <t>Confidence</t>
  </si>
  <si>
    <t>Interaction_Summary</t>
  </si>
  <si>
    <t>G/C/M/153</t>
  </si>
  <si>
    <t>Minutes of the Meeting of the Council for Trade in Goods (27-28 Nov 2025)</t>
  </si>
  <si>
    <t>CTG</t>
  </si>
  <si>
    <t>India</t>
  </si>
  <si>
    <t>Concern Raised</t>
  </si>
  <si>
    <t>Industrial Policy &amp; Economic Security</t>
  </si>
  <si>
    <t>Economic</t>
  </si>
  <si>
    <t>Development</t>
  </si>
  <si>
    <t>Economic Security &amp; Strategic Autonomy</t>
  </si>
  <si>
    <t>9.21</t>
  </si>
  <si>
    <t>High</t>
  </si>
  <si>
    <t>Raised concerns that tariffs, NTMs, unilateral green measures and export controls are fragmenting trade and stressing global supply chains.</t>
  </si>
  <si>
    <t>China</t>
  </si>
  <si>
    <t>Proposal/Recommendation</t>
  </si>
  <si>
    <t>Market Access &amp; Trade Effects</t>
  </si>
  <si>
    <t>Institutional</t>
  </si>
  <si>
    <t>International Cooperation</t>
  </si>
  <si>
    <t>Legal</t>
  </si>
  <si>
    <t>WTO Consistency &amp; Legal Interpretation</t>
  </si>
  <si>
    <t>9.23-9.24</t>
  </si>
  <si>
    <t>Expressed concern over reciprocal tariffs and supported dialogue and WTO reform.</t>
  </si>
  <si>
    <t>Republic of Korea</t>
  </si>
  <si>
    <t>9.26</t>
  </si>
  <si>
    <t>Highlighted negative impacts of trade policy shifts on investment decisions, supply chains and key sectors.</t>
  </si>
  <si>
    <t>Russian Federation</t>
  </si>
  <si>
    <t>Regulatory</t>
  </si>
  <si>
    <t>9.28-9.32</t>
  </si>
  <si>
    <t>Medium</t>
  </si>
  <si>
    <t>Criticized unilateral restrictions and regulations justified by environmental protection and national security.</t>
  </si>
  <si>
    <t>Singapore</t>
  </si>
  <si>
    <t>Institutional Capacity &amp; Coordination</t>
  </si>
  <si>
    <t>9.41-9.42</t>
  </si>
  <si>
    <t>Called for dialogue, cooperation and WTO reform to address disruptions to supply chains and markets.</t>
  </si>
  <si>
    <t>United States</t>
  </si>
  <si>
    <t>Defence/Explanation</t>
  </si>
  <si>
    <t>9.49-9.55</t>
  </si>
  <si>
    <t>Defended a production-oriented trade policy emphasizing resilience, critical minerals, semiconductors and differentiated trade relationships.</t>
  </si>
  <si>
    <t>Japan</t>
  </si>
  <si>
    <t>Climate &amp; Sustainability</t>
  </si>
  <si>
    <t>Technical</t>
  </si>
  <si>
    <t>10.3.1</t>
  </si>
  <si>
    <t>Raised concerns regarding EU F-Gas regulation and transition impacts.</t>
  </si>
  <si>
    <t>Supported concerns regarding EU F-Gas regulation.</t>
  </si>
  <si>
    <t>European Union</t>
  </si>
  <si>
    <t>Defended the F-Gas regulation and its climate objectives.</t>
  </si>
  <si>
    <t>10.3.2</t>
  </si>
  <si>
    <t>Raised concerns over EU pesticide residue rules.</t>
  </si>
  <si>
    <t>Brazil</t>
  </si>
  <si>
    <t>Questioned scientific justification.</t>
  </si>
  <si>
    <t>Australia</t>
  </si>
  <si>
    <t>Raised trade concerns regarding implementation.</t>
  </si>
  <si>
    <t>Indonesia</t>
  </si>
  <si>
    <t>Expressed concern regarding impacts on exporters.</t>
  </si>
  <si>
    <t>Argentina</t>
  </si>
  <si>
    <t>Supported concerns regarding scientific basis.</t>
  </si>
  <si>
    <t>Ecuador</t>
  </si>
  <si>
    <t>Supported co-sponsors' concerns.</t>
  </si>
  <si>
    <t>Paraguay</t>
  </si>
  <si>
    <t>Guatemala</t>
  </si>
  <si>
    <t>Supported concerns on residue measures.</t>
  </si>
  <si>
    <t>Raised concerns on implementation and evidence base.</t>
  </si>
  <si>
    <t>Colombia</t>
  </si>
  <si>
    <t>Supported concerns raised by exporters.</t>
  </si>
  <si>
    <t>Uruguay</t>
  </si>
  <si>
    <t>Supported concerns regarding agricultural exports.</t>
  </si>
  <si>
    <t>Canada</t>
  </si>
  <si>
    <t>Supported concerns regarding trade impacts.</t>
  </si>
  <si>
    <t>Defended the regulation and underlying risk assessment.</t>
  </si>
  <si>
    <t>10.3.8</t>
  </si>
  <si>
    <t>Raised concerns regarding China's export control law and strategic product restrictions.</t>
  </si>
  <si>
    <t>Raised concerns regarding impacts on supply chains.</t>
  </si>
  <si>
    <t>Defended export control measures as legitimate and security-related.</t>
  </si>
  <si>
    <t>Equity &amp; Just Transition</t>
  </si>
  <si>
    <t>Transparency &amp; Due Process</t>
  </si>
  <si>
    <t>Subsidies</t>
  </si>
  <si>
    <t>10.3.13</t>
  </si>
  <si>
    <t>Raised concerns regarding French EV subsidy scheme and discriminatory design.</t>
  </si>
  <si>
    <t>Defended EV subsidy scheme and environmental criteria.</t>
  </si>
  <si>
    <t>EU CBAM</t>
  </si>
  <si>
    <t>Concern over CBAM trade effects on developing country exports and climate-trade balance.</t>
  </si>
  <si>
    <t>Argued CBAM disregards CBDR principles and unfairly shifts burden to developing countries.</t>
  </si>
  <si>
    <t>Questioned compatibility of CBAM with multilateral trade rules and non-discrimination.</t>
  </si>
  <si>
    <t>Raised concerns regarding impacts on industrialization and policy autonomy.</t>
  </si>
  <si>
    <t>Thailand</t>
  </si>
  <si>
    <t>Compliance Costs</t>
  </si>
  <si>
    <t>Highlighted reporting and compliance burdens associated with CBAM.</t>
  </si>
  <si>
    <t>Defended CBAM as climate measure designed to address carbon leakage and ensure equivalent carbon pricing.</t>
  </si>
  <si>
    <t>Deforestation &amp; Biodiversity</t>
  </si>
  <si>
    <t>Raised concerns regarding market access implications for agricultural exports.</t>
  </si>
  <si>
    <t>Argued EUDR imposes EU standards on foreign producers and production systems.</t>
  </si>
  <si>
    <t>Capacity Constraints</t>
  </si>
  <si>
    <t>Highlighted implementation challenges for developing country producers.</t>
  </si>
  <si>
    <t>Raised concerns over traceability requirements and compliance systems.</t>
  </si>
  <si>
    <t>Questioned certification and verification requirements.</t>
  </si>
  <si>
    <t>Criticized unilateral environmental measures creating fragmented trade regimes.</t>
  </si>
  <si>
    <t>Emphasized need for support and transition assistance.</t>
  </si>
  <si>
    <t>Defended EUDR as environmental measure aimed at reducing global deforestation and improving supply-chain sustainability.</t>
  </si>
  <si>
    <t>Argued US reciprocal tariffs reverse tariff liberalization, violate MFN, disproportionately affect developing countries, and disrupt global supply chains.</t>
  </si>
  <si>
    <t>Venezuela</t>
  </si>
  <si>
    <t>Supported China and criticized reciprocal and secondary tariffs as protectionist and inconsistent with WTO rules.</t>
  </si>
  <si>
    <t>Raised concerns regarding Indonesia's commodity balance mechanism and import restrictions.</t>
  </si>
  <si>
    <t>Expressed concerns regarding import licensing and commodity balance administration.</t>
  </si>
  <si>
    <t>New Zealand</t>
  </si>
  <si>
    <t>Supported concerns regarding restrictive import policies.</t>
  </si>
  <si>
    <t>United Kingdom</t>
  </si>
  <si>
    <t>Raised concerns regarding trade-restrictive effects of Indonesia's mechanism.</t>
  </si>
  <si>
    <t>Defended the commodity balance mechanism and import management measures.</t>
  </si>
  <si>
    <t>Challenged sanctions and unilateral trade restrictive measures imposed by Australia, Canada, EU, Japan, New Zealand, Switzerland, UK and US.</t>
  </si>
  <si>
    <t>Defended measures adopted in response to Russia's actions in Ukraine.</t>
  </si>
  <si>
    <t>Justified sanctions and trade restrictions linked to the conflict in Ukraine.</t>
  </si>
  <si>
    <t>Defended measures as necessary responses to Russia's aggression.</t>
  </si>
  <si>
    <t>Defended sanctions while emphasizing food security and humanitarian carve-outs.</t>
  </si>
  <si>
    <t>Government Procurement</t>
  </si>
  <si>
    <t>Localisation Measures</t>
  </si>
  <si>
    <t>10.3.26</t>
  </si>
  <si>
    <t>Criticized aspects of the European Green Deal as creating trade distortions and fragmentation through unilateral climate-related measures.</t>
  </si>
  <si>
    <t>Defended the European Green Deal as a framework supporting decarbonization, sustainability and climate objectives.</t>
  </si>
  <si>
    <t>10.3.29</t>
  </si>
  <si>
    <t>Raised concerns regarding Indonesian export restrictions and their effects on supply chains and access to raw materials.</t>
  </si>
  <si>
    <t>Defended export governance measures as necessary to safeguard domestic supply, support industrial development, downstream processing and economic resilience.</t>
  </si>
  <si>
    <t>Governance Dimension</t>
  </si>
  <si>
    <t>Trigger Keywords</t>
  </si>
  <si>
    <t>Contextual Indicators</t>
  </si>
  <si>
    <t>Discussion of whether measure conforms with WTO or international legal obligations</t>
  </si>
  <si>
    <t>market access, exports, imports, barriers, trade flows, Green Services, Trade Facilitation</t>
  </si>
  <si>
    <t>Measure affects ability to sell products internationally</t>
  </si>
  <si>
    <t>Competitiveness</t>
  </si>
  <si>
    <t>Firms or sectors may gain/lose competitive position</t>
  </si>
  <si>
    <t>compliance cost, administrative burden, reporting burden, Border Carbon Adjustment, Border Carbon Adjustments, Carbon Pricing, ETS, Carbon Tax, Carbon Credits, Carbon Price Deduction, Compliance Costs</t>
  </si>
  <si>
    <t>Firms incur costs to meet requirements</t>
  </si>
  <si>
    <t>Developing countries lack ability to comply</t>
  </si>
  <si>
    <t>Distributional effects across countries or groups</t>
  </si>
  <si>
    <t>Concern that measure restricts development choices</t>
  </si>
  <si>
    <t>Debate on measuring emissions</t>
  </si>
  <si>
    <t>science-based, evidence-based, risk assessment, Evidence Requirements</t>
  </si>
  <si>
    <t>Requests for scientific justification</t>
  </si>
  <si>
    <t>Interoperability &amp; Equivalence</t>
  </si>
  <si>
    <t>Different systems need to function together</t>
  </si>
  <si>
    <t>Calls for joint action among governments</t>
  </si>
  <si>
    <t>Coordination among institutions or agencies</t>
  </si>
  <si>
    <t>Measure justified by security or strategic concerns</t>
  </si>
  <si>
    <t>Export/Import Controls</t>
  </si>
  <si>
    <t>France</t>
  </si>
  <si>
    <t>10.3.15</t>
  </si>
  <si>
    <t>10.3.14</t>
  </si>
  <si>
    <t>EU Green Deal</t>
  </si>
  <si>
    <t>10.3.20</t>
  </si>
  <si>
    <t>10.3.17</t>
  </si>
  <si>
    <t>10.3.21</t>
  </si>
  <si>
    <t>US Reciprocal Tariffs</t>
  </si>
  <si>
    <t>No Specific Measure</t>
  </si>
  <si>
    <t>UK</t>
  </si>
  <si>
    <t>10.3.25</t>
  </si>
  <si>
    <t>National/Economic Security</t>
  </si>
  <si>
    <t>10.3.24</t>
  </si>
  <si>
    <t>Domain Family</t>
  </si>
  <si>
    <t>10.3.23</t>
  </si>
  <si>
    <t>Korea</t>
  </si>
  <si>
    <t>Ukraine</t>
  </si>
  <si>
    <t>Multiple Members</t>
  </si>
  <si>
    <t>Switzerland</t>
  </si>
  <si>
    <t>Norway</t>
  </si>
  <si>
    <t>Chinese Taipei</t>
  </si>
  <si>
    <t>Türkiye</t>
  </si>
  <si>
    <t>Peru</t>
  </si>
  <si>
    <t>interoperability, equivalence, compatibility, harmonisation, alignment, common standards, Sustainability Standards, International Standards, Regulatory Alignment, Regulatory Architecture, Climate-Related Measures, Policy Alignment, mutual recognition, foreign standards, Recognition of Foreign Carbon Pricing Systems, Recognition of Foreign Regulatory Systems, Recognition of Foreign Systems, fragmentation, overlapping requirements, Biodiversity Governance, Access and Benefit Sharing, Bioeconomy Governance, Standards Fragmentation, Regulatory Coherence</t>
  </si>
  <si>
    <t>fairness, equity, inclusiveness, just transition, Food Security, Traditional Knowledge, Climate Vulnerability, Sustainable Trade, Energy Transition, S&amp;DT, CBDR, LDCs, developing countries, Small Economies</t>
  </si>
  <si>
    <t>Policy Space</t>
  </si>
  <si>
    <t>cooperation, collaboration, dialogue, Climate Governance Negotiations, Trade and Climate Linkages, Trade Policy Integration, Climate Governance Framework, Information Sharing, Knowledge Sharing, Policy Diffusion, Regulatory Learning, Cooperation Framework, Cooperation Initiatives, International Cooperation</t>
  </si>
  <si>
    <t>committee coordination, governance coordination, Committee Processes, WTO Reform, WTO Role, Committee work</t>
  </si>
  <si>
    <t>Political Economy</t>
  </si>
  <si>
    <t>MRV methodologies</t>
  </si>
  <si>
    <t>Technical Basis</t>
  </si>
  <si>
    <t>MRV, emissions calculation, carbon intensity, monitoring, verification, reporting, Carbon Accounting, Carbon Measurement Standards, traceability, tracking, databases, product passport, Digital Services, methodology, benchmark, default values, certification, accreditation, verification, Verification Framework, ESG Standards, Conformity Assessment, Certification Schemes</t>
  </si>
  <si>
    <t>policy space, industrialisation, development priorities, Structural Constraints, Sustainable Development, Green Growth, domestic conditions</t>
  </si>
  <si>
    <t>competitiveness, level playing field, cost disadvantage, SMEs, small business, industry impacts, investment, jobs, relocation, employment, Investment Promotion</t>
  </si>
  <si>
    <t>WTO-consistent, obligations, GATT, SCM, TBT, SPS, legal basis, WTO Consistency, MFN, national treatment, discrimination, equal treatment, Non-Discrimination, extraterritorial, outside jurisdiction, foreign producers, Extraterritoriality</t>
  </si>
  <si>
    <t>transparency, notification, consultation, stakeholder engagement, Consumer Information, Disclosure Requirements, Consultation Process, Public Consultation, predictability, certainty, clarity, stable rules, HS Classification Reform, Scope Expansion, Scope Clarification, predictability, certainty, clarity, stable rules, HS Classification Reform, Scope Expansion, Scope Clarification</t>
  </si>
  <si>
    <t>Calls for advance notice, consultation, procedural fairness, predictability of rules, clarity on rules or measures</t>
  </si>
  <si>
    <t>economic security, strategic autonomy, resilience, industrial policy, friendshoring, reshoring, technology leadership, supply chain, value chain, sourcing, resilience, Green Supply Chains, Supply Chain Resilience, reciprocal tariffs, national security, economic security.</t>
  </si>
  <si>
    <t>Domain</t>
  </si>
  <si>
    <t>Keywords / Alternative Terms</t>
  </si>
  <si>
    <t>EUDR; Deforestation Regulation; Forest Risk Commodities; Biodiversity; Nature Protection; Ecosystem Protection</t>
  </si>
  <si>
    <t>Digital Trade</t>
  </si>
  <si>
    <t>AI &amp; Emerging Technologies</t>
  </si>
  <si>
    <t>Inflation Reduction Act; IRA; Clean Technology Support; Industrial Decarbonisation; Net-Zero Industry Policies</t>
  </si>
  <si>
    <t>Local Content Requirements; Domestic Content Requirements; Localization Requirements; Import Substitution</t>
  </si>
  <si>
    <t>Public Procurement; Government Procurement; Buy National; Buy Local</t>
  </si>
  <si>
    <t xml:space="preserve">Export Controls; Export Restrictions; Technology Controls; Semiconductor Controls; Import Restrictions </t>
  </si>
  <si>
    <t>Sub-Domain</t>
  </si>
  <si>
    <t>Carbon Measures</t>
  </si>
  <si>
    <t>Other Climate/ Sustainability Measures</t>
  </si>
  <si>
    <t>Green Policies</t>
  </si>
  <si>
    <t>Governance Topic</t>
  </si>
  <si>
    <t>Sub-Domain 1</t>
  </si>
  <si>
    <t>Sub-Domain 2</t>
  </si>
  <si>
    <t>Sub-Domain 3</t>
  </si>
  <si>
    <t>CBAM; Carbon Border Adjustment; Carbon Border Adjustment Mechanism; Border Carbon Adjustment; Border Carbon Measures; Decarbonization; Decarbonisation; Net Zero</t>
  </si>
  <si>
    <t>Circular Economy; Eco-design; Ecodesign; Product Passport; Recycling Requirements; Recycled Content; Sustainability Standards; ESG Standards; Sustainability Reporting; Disclosure Requirements; Due Diligence; Supply Chain Due Diligence; Sustainability Standards; ESG Standards; Sustainability Reporting; Disclosure Requirements; Due Diligence; Supply Chain Due Diligence; Energy Transition; Green Hydrogen; Renewable Energy</t>
  </si>
  <si>
    <t>E-Commerce</t>
  </si>
  <si>
    <t>G/TFA/W/143</t>
  </si>
  <si>
    <t>Implementation of the MC14 Decision on the Work Programme on Small Economies</t>
  </si>
  <si>
    <t>Guatemala (on behalf of the SVE Group)</t>
  </si>
  <si>
    <t>2.1-3.2</t>
  </si>
  <si>
    <t>Not applicable</t>
  </si>
  <si>
    <t>Proposed a dedicated Trade Facilitation Committee session on digital trade facilitation, transparency, traceability and coordination to implement the MC14 mandate for small economies.</t>
  </si>
  <si>
    <t>WT/COMTD/SE/M/50</t>
  </si>
  <si>
    <t>NOTE ON THE MEETING: Fiftieth Dedicated Session on Small Economies</t>
  </si>
  <si>
    <t>CTD</t>
  </si>
  <si>
    <t>Information Sharing</t>
  </si>
  <si>
    <t>Other Climate/Sustainability Measures</t>
  </si>
  <si>
    <t>Secretariat</t>
  </si>
  <si>
    <t>5-19</t>
  </si>
  <si>
    <t>Presented factual analysis on interface of trade and climate, environmental goods, climate finance and technology transfer for SVEs.</t>
  </si>
  <si>
    <t>Guatemala (SVE Group)</t>
  </si>
  <si>
    <t>20-29</t>
  </si>
  <si>
    <t>Called for follow up work, adaptation finance, sharing good practices and continued WTO work on trade and climate.</t>
  </si>
  <si>
    <t>ACP Group</t>
  </si>
  <si>
    <t>30-31</t>
  </si>
  <si>
    <t>Called for strengthened international cooperation, climate finance and integration of trade and climate policies.</t>
  </si>
  <si>
    <t>CARICOM</t>
  </si>
  <si>
    <t>Trinidad &amp; Tobago</t>
  </si>
  <si>
    <t>Jamaica</t>
  </si>
  <si>
    <t>Mauritius</t>
  </si>
  <si>
    <t>Pacific Group</t>
  </si>
  <si>
    <t>65-67</t>
  </si>
  <si>
    <t>Questioned narrow definition of environmental goods and raised concerns about climate-related trade restrictive measures.</t>
  </si>
  <si>
    <t>79</t>
  </si>
  <si>
    <t>Presented proposal for non-binding guidance on methodologies for measuring embedded emissions and enhancing transparency.</t>
  </si>
  <si>
    <t>Sri Lanka</t>
  </si>
  <si>
    <t>90-91</t>
  </si>
  <si>
    <t>Argued report underplayed technology transfer and emphasized use of WTO flexibilities for SVEs.</t>
  </si>
  <si>
    <t>Mongolia</t>
  </si>
  <si>
    <t>Nepal</t>
  </si>
  <si>
    <t>El Salvador</t>
  </si>
  <si>
    <t>WT/CTE/GEN/37/Rev.1</t>
  </si>
  <si>
    <t>Carbon Border Adjustment Mechanism. Communication from the European Union</t>
  </si>
  <si>
    <t>CTE</t>
  </si>
  <si>
    <t>MRV Methodologies</t>
  </si>
  <si>
    <t>WT/CTE/GEN/39</t>
  </si>
  <si>
    <t>Regulation on Deforestation and Forest Degradation-Free Supply Chains</t>
  </si>
  <si>
    <t>WT/CTE/GEN/40</t>
  </si>
  <si>
    <t>WT/CTE/GEN/41</t>
  </si>
  <si>
    <t>WT/GC/W/979/Rev.1</t>
  </si>
  <si>
    <t>LDC GROUP PRIORITIES AT THE WORLD TRADE ORGANIZATION</t>
  </si>
  <si>
    <t>GC</t>
  </si>
  <si>
    <t>LDC Group</t>
  </si>
  <si>
    <t>Multiple Measures</t>
  </si>
  <si>
    <t>WT/GC/W/986</t>
  </si>
  <si>
    <t>EU Submission on WTO Reform</t>
  </si>
  <si>
    <t>Subsidies; State Aid; Government Support; Fiscal Incentives; Tax Credits; State Interventions</t>
  </si>
  <si>
    <t>Critical Minerals; Rare Earths; Strategic Raw Materials; Supply Chain Resilience; Diversification; Friendshoring; Nearshoring; Trade Weaponisation</t>
  </si>
  <si>
    <t>Agricultural Subsidies</t>
  </si>
  <si>
    <t>WTO reform considerations</t>
  </si>
  <si>
    <t>WT/GC/W/987</t>
  </si>
  <si>
    <t>CHINA'S POSITION PAPER ON WTO REFORM UNDER THE CURRENT CIRCUMSTANCES</t>
  </si>
  <si>
    <t>WT/GC/W/989</t>
  </si>
  <si>
    <t>WT/GC/M/222</t>
  </si>
  <si>
    <t>Bangladesh</t>
  </si>
  <si>
    <t>General Council Minutes</t>
  </si>
  <si>
    <t>Japan (Co-convenors)</t>
  </si>
  <si>
    <t>11.4–11.14</t>
  </si>
  <si>
    <t>11.16–11.17</t>
  </si>
  <si>
    <t>11.18–11.22</t>
  </si>
  <si>
    <t>11.23–11.26</t>
  </si>
  <si>
    <t>11.27–11.31</t>
  </si>
  <si>
    <t>South Africa</t>
  </si>
  <si>
    <t>11.32–11.33</t>
  </si>
  <si>
    <t>Pakistan</t>
  </si>
  <si>
    <t>11.34–11.40</t>
  </si>
  <si>
    <t>11.41–11.43</t>
  </si>
  <si>
    <t>11.45–11.47</t>
  </si>
  <si>
    <t>Philippines</t>
  </si>
  <si>
    <t>11.48–11.52</t>
  </si>
  <si>
    <t>Gambia</t>
  </si>
  <si>
    <t>11.53–11.57</t>
  </si>
  <si>
    <t>Costa Rica</t>
  </si>
  <si>
    <t>11.58–11.62</t>
  </si>
  <si>
    <t>Brunei Darussalam</t>
  </si>
  <si>
    <t>11.63–11.65</t>
  </si>
  <si>
    <t>Chile</t>
  </si>
  <si>
    <t>11.66–11.69</t>
  </si>
  <si>
    <t>11.70–11.73</t>
  </si>
  <si>
    <t>11.74–11.79</t>
  </si>
  <si>
    <t>11.80–11.83</t>
  </si>
  <si>
    <t>Kyrgyz Republic</t>
  </si>
  <si>
    <t>11.84–11.88</t>
  </si>
  <si>
    <t>11.91–11.96</t>
  </si>
  <si>
    <t>Kazakhstan</t>
  </si>
  <si>
    <t>11.97–11.99</t>
  </si>
  <si>
    <t>11.100–11.109</t>
  </si>
  <si>
    <t>Myanmar</t>
  </si>
  <si>
    <t>11.110–11.116</t>
  </si>
  <si>
    <t>Israel</t>
  </si>
  <si>
    <t>11.117–11.121</t>
  </si>
  <si>
    <t>11.122–11.125</t>
  </si>
  <si>
    <t>11.126–11.129</t>
  </si>
  <si>
    <t>Montenegro</t>
  </si>
  <si>
    <t>11.130–11.135</t>
  </si>
  <si>
    <t>Republic of Moldova</t>
  </si>
  <si>
    <t>11.136–11.139</t>
  </si>
  <si>
    <t>11.140–11.144</t>
  </si>
  <si>
    <t>11.145–11.149</t>
  </si>
  <si>
    <t>Cabo Verde</t>
  </si>
  <si>
    <t>11.150–11.153</t>
  </si>
  <si>
    <t>Hong Kong, China</t>
  </si>
  <si>
    <t>11.154–11.159</t>
  </si>
  <si>
    <t>11.160–11.161</t>
  </si>
  <si>
    <t>Malaysia</t>
  </si>
  <si>
    <t>11.162–11.167</t>
  </si>
  <si>
    <t>Lao People's Democratic Republic</t>
  </si>
  <si>
    <t>11.168–11.171</t>
  </si>
  <si>
    <t>11.172–11.173</t>
  </si>
  <si>
    <t>11.183–11.184</t>
  </si>
  <si>
    <t>11.185–11.190</t>
  </si>
  <si>
    <t>capacity, institutional constraints, readiness, Capacity Constraints, Technical capacity; Financial Capacity</t>
  </si>
  <si>
    <t>13.8-13.15</t>
  </si>
  <si>
    <t>Panama</t>
  </si>
  <si>
    <t>13.26-13.30</t>
  </si>
  <si>
    <t>Haiti (CARICOM)</t>
  </si>
  <si>
    <t>13.31-13.33</t>
  </si>
  <si>
    <t>13.34-13.39</t>
  </si>
  <si>
    <t>13.40-13.43</t>
  </si>
  <si>
    <t>Seychelles</t>
  </si>
  <si>
    <t>13.44-13.51</t>
  </si>
  <si>
    <t>Samoa (Pacific Group)</t>
  </si>
  <si>
    <t>13.52-13.54</t>
  </si>
  <si>
    <t>13.57-13.61</t>
  </si>
  <si>
    <t>13.62-13.67</t>
  </si>
  <si>
    <t>Plurinational State of Bolivia</t>
  </si>
  <si>
    <t>13.68-13.69</t>
  </si>
  <si>
    <t>13.70-13.71</t>
  </si>
  <si>
    <t>15.2-15.8</t>
  </si>
  <si>
    <t>15.9-15.12</t>
  </si>
  <si>
    <t>15.13-15.16</t>
  </si>
  <si>
    <t>Mozambique (African Group)</t>
  </si>
  <si>
    <t>15.17-15.19</t>
  </si>
  <si>
    <t>15.20-15.25</t>
  </si>
  <si>
    <t>15.26-15.29</t>
  </si>
  <si>
    <t>15.33-15.34</t>
  </si>
  <si>
    <t>15.35-15.41</t>
  </si>
  <si>
    <t>15.42-15.45</t>
  </si>
  <si>
    <t>15.46-15.52</t>
  </si>
  <si>
    <t>15.53-15.58</t>
  </si>
  <si>
    <t>15.59-15.67</t>
  </si>
  <si>
    <t>15.68-15.69</t>
  </si>
  <si>
    <t>Guyana</t>
  </si>
  <si>
    <t>15.70-15.74</t>
  </si>
  <si>
    <t>15.75-15.77</t>
  </si>
  <si>
    <t>15.78-15.82</t>
  </si>
  <si>
    <t>15.83-15.89</t>
  </si>
  <si>
    <t>15.90-15.93</t>
  </si>
  <si>
    <t>15.94-15.95</t>
  </si>
  <si>
    <t>15.96-15.101</t>
  </si>
  <si>
    <t>15.102-15.104</t>
  </si>
  <si>
    <t>15.105-15.107</t>
  </si>
  <si>
    <t>15.108-15.109</t>
  </si>
  <si>
    <t>Viet Nam</t>
  </si>
  <si>
    <t>15.110-15.112</t>
  </si>
  <si>
    <t>15.113-15.115</t>
  </si>
  <si>
    <t>15.116-15.118</t>
  </si>
  <si>
    <t>15.119-15.122</t>
  </si>
  <si>
    <t>Brazil (Reply)</t>
  </si>
  <si>
    <t>15.123-15.128</t>
  </si>
  <si>
    <t>16.2-16.10</t>
  </si>
  <si>
    <t>16.16-16.26</t>
  </si>
  <si>
    <t>16.27-16.29</t>
  </si>
  <si>
    <t>16.30-16.31</t>
  </si>
  <si>
    <t>16.32-16.35</t>
  </si>
  <si>
    <t>Bolivarian Republic of Venezuela</t>
  </si>
  <si>
    <t>16.36-16.40</t>
  </si>
  <si>
    <t>16.41-16.49</t>
  </si>
  <si>
    <t>16.50-16.56</t>
  </si>
  <si>
    <t>16.57-16.59</t>
  </si>
  <si>
    <t>17.2-17.8</t>
  </si>
  <si>
    <t>17.9-17.11</t>
  </si>
  <si>
    <t>17.12-17.18</t>
  </si>
  <si>
    <t>17.19-17.22</t>
  </si>
  <si>
    <t>China (Reply)</t>
  </si>
  <si>
    <t>17.23-17.25</t>
  </si>
  <si>
    <t>Whole document</t>
  </si>
  <si>
    <t>WT/GC/W/992</t>
  </si>
  <si>
    <t>WTO Reform: Development-Centred Priorities for a Balanced WTO</t>
  </si>
  <si>
    <t>Mozambique (on behalf of the African Group)</t>
  </si>
  <si>
    <t>WT/GC/W/993</t>
  </si>
  <si>
    <t>More Relevant, More Flexible, More Accessible</t>
  </si>
  <si>
    <t>WT/GC/W/998</t>
  </si>
  <si>
    <t>Further Perspectives on WTO Reform</t>
  </si>
  <si>
    <t>WT/GC/W/1001</t>
  </si>
  <si>
    <t>Perspectives on WTO Reform</t>
  </si>
  <si>
    <t>CTF</t>
  </si>
  <si>
    <t>E-Commerce; Electronic Commerce; Digital Trade; Online Platforms; Moratorium; Customs Duties on Electronic Transmissions; Electronic Transmissions; Cross-Border Data Flows; Data Transfers; Data Localisation; Data Localization; Data Governance</t>
  </si>
  <si>
    <t>Artificial Intelligence; AI; Algorithmic Systems; Machine Learning; Cybersecurity; Cyber Security; Digital Security</t>
  </si>
  <si>
    <t>G/C/M/223</t>
  </si>
  <si>
    <t>9.18-9.22</t>
  </si>
  <si>
    <t>Artificial Intelligence</t>
  </si>
  <si>
    <t>9.26-9.29</t>
  </si>
  <si>
    <t>9.30-9.32</t>
  </si>
  <si>
    <t>Industrial Policy</t>
  </si>
  <si>
    <t>9.33-9.34</t>
  </si>
  <si>
    <t>"Made In" measures</t>
  </si>
  <si>
    <t>WT/COMTD/SE/13</t>
  </si>
  <si>
    <t>SVE Group</t>
  </si>
  <si>
    <t>WT/COMTD/SE/M/52</t>
  </si>
  <si>
    <t>CTD-SVE</t>
  </si>
  <si>
    <t>REPORT OF THE COMMITTEE ON TRADE AND DEVELOPMENT IN DEDICATED SESSION TO THE GENERAL COUNCIL</t>
  </si>
  <si>
    <t>Notes on the meeting</t>
  </si>
  <si>
    <t>Fluorinated GHG Reg.</t>
  </si>
  <si>
    <t>MRLs</t>
  </si>
  <si>
    <t>Export Controls on Strategic Products</t>
  </si>
  <si>
    <t>EV Scheme (France)</t>
  </si>
  <si>
    <t>EU DR</t>
  </si>
  <si>
    <t>Comm. Balance Mechanism and Import Restrictions</t>
  </si>
  <si>
    <t>Unilateral Measures Against Russia</t>
  </si>
  <si>
    <t>Chinese Government Procurement</t>
  </si>
  <si>
    <t>Disruptive Policy Measures on Semiconductors</t>
  </si>
  <si>
    <t>Export Restrictions</t>
  </si>
  <si>
    <t>Unilateral 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</si>
</sst>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name val="Calibri"/>
      <family val="2"/>
      <scheme val="minor"/>
    </font>
    <font>
      <sz val="12"/>
      <color theme="1"/>
      <name val="Times New Roman"/>
      <family val="1"/>
    </font>
    <font>
      <b/>
      <sz val="12"/>
      <color theme="1"/>
      <name val="Times New Roman"/>
      <family val="1"/>
    </font>
    <font>
      <b/>
      <sz val="11"/>
      <color rgb="FF000000"/>
      <name val="Calibri"/>
      <family val="2"/>
      <scheme val="minor"/>
    </font>
    <font>
      <sz val="11"/>
      <color rgb="FF000000"/>
      <name val="Calibri"/>
      <family val="2"/>
      <scheme val="minor"/>
    </font>
    <font>
      <sz val="9"/>
      <color theme="1"/>
      <name val="Verdana"/>
      <family val="2"/>
    </font>
    <font>
      <b/>
      <sz val="9"/>
      <color rgb="FF006283"/>
      <name val="Verdana"/>
      <family val="2"/>
    </font>
    <font>
      <sz val="11"/>
      <color rgb="FFFF0000"/>
      <name val="Calibri"/>
      <family val="2"/>
      <scheme val="minor"/>
    </font>
    <font>
      <b/>
      <sz val="11"/>
      <color rgb="FFFF0000"/>
      <name val="Calibri"/>
      <family val="2"/>
      <scheme val="minor"/>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4" fillId="0" borderId="1" xfId="0" applyFont="1" applyBorder="1" applyAlignment="1">
      <alignment vertical="center"/>
    </xf>
    <xf numFmtId="0" fontId="5" fillId="0" borderId="3" xfId="0" applyFont="1" applyBorder="1" applyAlignment="1">
      <alignment vertical="center"/>
    </xf>
    <xf numFmtId="0" fontId="5" fillId="0" borderId="0" xfId="0" applyFont="1"/>
    <xf numFmtId="0" fontId="4" fillId="0" borderId="2" xfId="0" applyFont="1" applyBorder="1" applyAlignment="1">
      <alignment horizontal="center" vertical="center" wrapText="1"/>
    </xf>
    <xf numFmtId="0" fontId="5" fillId="0" borderId="4" xfId="0" applyFont="1" applyBorder="1" applyAlignment="1">
      <alignment vertical="center" wrapText="1"/>
    </xf>
    <xf numFmtId="0" fontId="0" fillId="0" borderId="5" xfId="0" applyBorder="1"/>
    <xf numFmtId="0" fontId="5" fillId="0" borderId="5" xfId="0" applyFont="1" applyBorder="1" applyAlignment="1">
      <alignment vertical="center" wrapText="1"/>
    </xf>
    <xf numFmtId="0" fontId="5" fillId="0" borderId="5" xfId="0" applyFont="1" applyBorder="1"/>
    <xf numFmtId="0" fontId="0" fillId="0" borderId="5" xfId="0" applyBorder="1" applyAlignment="1">
      <alignment horizontal="left"/>
    </xf>
    <xf numFmtId="0" fontId="3" fillId="0" borderId="5" xfId="0" applyFont="1" applyBorder="1" applyAlignment="1">
      <alignment horizontal="center" vertical="center" wrapText="1"/>
    </xf>
    <xf numFmtId="0" fontId="2" fillId="0" borderId="5" xfId="0" applyFont="1" applyBorder="1" applyAlignment="1">
      <alignment vertical="center" wrapText="1"/>
    </xf>
    <xf numFmtId="14" fontId="0" fillId="0" borderId="5" xfId="0" applyNumberFormat="1" applyBorder="1"/>
    <xf numFmtId="0" fontId="6" fillId="0" borderId="5" xfId="0" applyFont="1" applyBorder="1"/>
    <xf numFmtId="15" fontId="0" fillId="0" borderId="5" xfId="0" applyNumberFormat="1" applyBorder="1"/>
    <xf numFmtId="16" fontId="0" fillId="0" borderId="5" xfId="0" applyNumberFormat="1" applyBorder="1"/>
    <xf numFmtId="0" fontId="7" fillId="0" borderId="5" xfId="0" applyFont="1" applyBorder="1" applyAlignment="1">
      <alignment horizontal="center" vertical="center"/>
    </xf>
    <xf numFmtId="0" fontId="7" fillId="0" borderId="5" xfId="0" applyFont="1" applyBorder="1" applyAlignment="1">
      <alignment horizontal="justify" vertical="center"/>
    </xf>
    <xf numFmtId="0" fontId="6" fillId="0" borderId="5" xfId="0" applyFont="1" applyBorder="1" applyAlignment="1">
      <alignment horizontal="center" vertical="center"/>
    </xf>
    <xf numFmtId="0" fontId="0" fillId="0" borderId="5" xfId="0" applyBorder="1" applyAlignment="1">
      <alignment wrapText="1"/>
    </xf>
    <xf numFmtId="0" fontId="0" fillId="0" borderId="5" xfId="0" applyBorder="1" applyAlignment="1">
      <alignment vertical="center" wrapText="1"/>
    </xf>
    <xf numFmtId="15" fontId="0" fillId="0" borderId="5" xfId="0" applyNumberFormat="1" applyBorder="1" applyAlignment="1">
      <alignment vertical="center" wrapText="1"/>
    </xf>
    <xf numFmtId="0" fontId="9" fillId="0" borderId="5" xfId="0" applyFont="1" applyBorder="1" applyAlignment="1">
      <alignment wrapText="1"/>
    </xf>
    <xf numFmtId="0" fontId="8"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Users/tdsat/Downloads/WTO_Database_M50_Coded.xlsx" TargetMode="External"/><Relationship Id="rId2" Type="http://schemas.openxmlformats.org/officeDocument/2006/relationships/externalLinkPath" Target="file:///C:\Users\tdsat\Downloads\WTO_Database_M50_Coded.xlsx" TargetMode="External"/><Relationship Id="rId1" Type="http://schemas.openxmlformats.org/officeDocument/2006/relationships/externalLinkPath" Target="/Users/tdsat/Downloads/WTO_Database_M50_Cod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base"/>
      <sheetName val="Domain"/>
      <sheetName val="Governance Dimension_Topics"/>
    </sheetNames>
    <sheetDataSet>
      <sheetData sheetId="0"/>
      <sheetData sheetId="1"/>
      <sheetData sheetId="2">
        <row r="3">
          <cell r="B3" t="str">
            <v>Legal</v>
          </cell>
          <cell r="C3" t="str">
            <v>WTO Consistency &amp; Legal Interpretation</v>
          </cell>
        </row>
        <row r="4">
          <cell r="B4" t="str">
            <v>Legal</v>
          </cell>
          <cell r="C4" t="str">
            <v>Transparency &amp; Due Process</v>
          </cell>
        </row>
        <row r="5">
          <cell r="B5" t="str">
            <v>Economic</v>
          </cell>
          <cell r="C5" t="str">
            <v>Market Access &amp; Trade Effects</v>
          </cell>
        </row>
        <row r="6">
          <cell r="B6" t="str">
            <v>Economic</v>
          </cell>
          <cell r="C6" t="str">
            <v>Competitiveness</v>
          </cell>
        </row>
        <row r="7">
          <cell r="B7" t="str">
            <v>Economic</v>
          </cell>
          <cell r="C7" t="str">
            <v>Compliance Costs</v>
          </cell>
        </row>
        <row r="8">
          <cell r="B8" t="str">
            <v>Development</v>
          </cell>
          <cell r="C8" t="str">
            <v>Capacity Constraints</v>
          </cell>
        </row>
        <row r="9">
          <cell r="B9" t="str">
            <v>Development</v>
          </cell>
          <cell r="C9" t="str">
            <v>Equity &amp; Just Transition</v>
          </cell>
        </row>
        <row r="10">
          <cell r="B10" t="str">
            <v>Development</v>
          </cell>
          <cell r="C10" t="str">
            <v>Policy Space</v>
          </cell>
        </row>
        <row r="11">
          <cell r="B11" t="str">
            <v>Technical</v>
          </cell>
          <cell r="C11" t="str">
            <v>MRV methodologies</v>
          </cell>
        </row>
        <row r="12">
          <cell r="B12" t="str">
            <v>Technical</v>
          </cell>
          <cell r="C12" t="str">
            <v>Technical Basis</v>
          </cell>
        </row>
        <row r="13">
          <cell r="B13" t="str">
            <v>Regulatory</v>
          </cell>
          <cell r="C13" t="str">
            <v>Interoperability &amp; Equivalence</v>
          </cell>
        </row>
        <row r="14">
          <cell r="B14" t="str">
            <v>Institutional</v>
          </cell>
          <cell r="C14" t="str">
            <v>International Cooperation</v>
          </cell>
        </row>
        <row r="15">
          <cell r="B15" t="str">
            <v>Institutional</v>
          </cell>
          <cell r="C15" t="str">
            <v>Institutional Capacity &amp; Coordination</v>
          </cell>
        </row>
        <row r="16">
          <cell r="B16" t="str">
            <v>Political Economy</v>
          </cell>
          <cell r="C16" t="str">
            <v>Economic Security &amp; Strategic Autonomy</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4"/>
  <sheetViews>
    <sheetView tabSelected="1" topLeftCell="H1" zoomScale="80" zoomScaleNormal="80" workbookViewId="0">
      <pane ySplit="1" topLeftCell="A221" activePane="bottomLeft" state="frozen"/>
      <selection activeCell="H1" sqref="H1"/>
      <selection pane="bottomLeft" activeCell="L241" sqref="L241"/>
    </sheetView>
  </sheetViews>
  <sheetFormatPr defaultRowHeight="15" x14ac:dyDescent="0.25"/>
  <cols>
    <col min="1" max="1" width="23.42578125" bestFit="1" customWidth="1"/>
    <col min="2" max="2" width="11.28515625" bestFit="1" customWidth="1"/>
    <col min="3" max="3" width="75" bestFit="1" customWidth="1"/>
    <col min="4" max="4" width="10.42578125" customWidth="1"/>
    <col min="5" max="5" width="20.7109375" bestFit="1" customWidth="1"/>
    <col min="6" max="6" width="28.5703125" bestFit="1" customWidth="1"/>
    <col min="7" max="7" width="37.7109375" bestFit="1" customWidth="1"/>
    <col min="8" max="8" width="18" bestFit="1" customWidth="1"/>
    <col min="9" max="9" width="34.28515625" customWidth="1"/>
    <col min="10" max="10" width="26" customWidth="1"/>
    <col min="11" max="11" width="30.5703125" customWidth="1"/>
    <col min="12" max="12" width="39" customWidth="1"/>
    <col min="13" max="13" width="19.5703125" bestFit="1" customWidth="1"/>
    <col min="14" max="14" width="18.42578125" bestFit="1" customWidth="1"/>
    <col min="15" max="15" width="40.7109375" bestFit="1" customWidth="1"/>
    <col min="16" max="16" width="25.7109375" customWidth="1"/>
    <col min="17" max="17" width="40.7109375" bestFit="1" customWidth="1"/>
    <col min="18" max="18" width="26.7109375" bestFit="1" customWidth="1"/>
    <col min="19" max="19" width="40.7109375" bestFit="1" customWidth="1"/>
    <col min="20" max="20" width="14.28515625" customWidth="1"/>
    <col min="21" max="21" width="36.7109375" bestFit="1" customWidth="1"/>
    <col min="22" max="22" width="14.28515625" customWidth="1"/>
    <col min="23" max="23" width="12" bestFit="1" customWidth="1"/>
    <col min="24" max="24" width="11.140625" bestFit="1" customWidth="1"/>
    <col min="25" max="25" width="152" bestFit="1" customWidth="1"/>
  </cols>
  <sheetData>
    <row r="1" spans="1:25" s="23" customFormat="1" ht="32.25" customHeight="1" x14ac:dyDescent="0.25">
      <c r="A1" s="22" t="s">
        <v>0</v>
      </c>
      <c r="B1" s="22" t="s">
        <v>1</v>
      </c>
      <c r="C1" s="22" t="s">
        <v>2</v>
      </c>
      <c r="D1" s="22" t="s">
        <v>3</v>
      </c>
      <c r="E1" s="22" t="s">
        <v>4</v>
      </c>
      <c r="F1" s="22" t="s">
        <v>5</v>
      </c>
      <c r="G1" s="22" t="s">
        <v>176</v>
      </c>
      <c r="H1" s="22" t="s">
        <v>18</v>
      </c>
      <c r="I1" s="22" t="s">
        <v>215</v>
      </c>
      <c r="J1" s="22" t="s">
        <v>216</v>
      </c>
      <c r="K1" s="22" t="s">
        <v>217</v>
      </c>
      <c r="L1" s="22" t="s">
        <v>6</v>
      </c>
      <c r="M1" s="22" t="s">
        <v>7</v>
      </c>
      <c r="N1" s="22" t="s">
        <v>8</v>
      </c>
      <c r="O1" s="22" t="s">
        <v>9</v>
      </c>
      <c r="P1" s="22" t="s">
        <v>10</v>
      </c>
      <c r="Q1" s="22" t="s">
        <v>11</v>
      </c>
      <c r="R1" s="22" t="s">
        <v>12</v>
      </c>
      <c r="S1" s="22" t="s">
        <v>13</v>
      </c>
      <c r="T1" s="22" t="s">
        <v>14</v>
      </c>
      <c r="U1" s="22" t="s">
        <v>15</v>
      </c>
      <c r="V1" s="22" t="s">
        <v>16</v>
      </c>
      <c r="W1" s="22" t="s">
        <v>17</v>
      </c>
      <c r="X1" s="22" t="s">
        <v>19</v>
      </c>
      <c r="Y1" s="22" t="s">
        <v>20</v>
      </c>
    </row>
    <row r="2" spans="1:25" x14ac:dyDescent="0.25">
      <c r="A2" s="6" t="s">
        <v>21</v>
      </c>
      <c r="B2" s="12">
        <v>46177</v>
      </c>
      <c r="C2" s="6" t="s">
        <v>22</v>
      </c>
      <c r="D2" s="6" t="s">
        <v>23</v>
      </c>
      <c r="E2" s="6" t="s">
        <v>24</v>
      </c>
      <c r="F2" s="6" t="s">
        <v>230</v>
      </c>
      <c r="G2" s="6" t="s">
        <v>26</v>
      </c>
      <c r="H2" s="6" t="s">
        <v>30</v>
      </c>
      <c r="I2" s="6" t="s">
        <v>162</v>
      </c>
      <c r="J2" s="6" t="s">
        <v>211</v>
      </c>
      <c r="K2" s="6" t="s">
        <v>174</v>
      </c>
      <c r="L2" s="6" t="s">
        <v>171</v>
      </c>
      <c r="M2" s="6" t="s">
        <v>225</v>
      </c>
      <c r="N2" s="6" t="str">
        <f>_xlfn.XLOOKUP(O2,'Governance Dimension_Topics'!$C$3:$C$16,'Governance Dimension_Topics'!$B$3:$B$16,"None",0)</f>
        <v>Political Economy</v>
      </c>
      <c r="O2" s="7" t="s">
        <v>29</v>
      </c>
      <c r="P2" s="6" t="str">
        <f>_xlfn.XLOOKUP(Q2,'Governance Dimension_Topics'!$C$3:$C$16,'Governance Dimension_Topics'!$B$3:$B$16,"None",0)</f>
        <v>Development</v>
      </c>
      <c r="Q2" s="6" t="s">
        <v>188</v>
      </c>
      <c r="R2" s="6" t="str">
        <f>_xlfn.XLOOKUP(S2,'Governance Dimension_Topics'!$C$3:$C$16,'Governance Dimension_Topics'!$B$3:$B$16,"None",0)</f>
        <v>Political Economy</v>
      </c>
      <c r="S2" s="6" t="s">
        <v>29</v>
      </c>
      <c r="T2" s="6"/>
      <c r="U2" s="6"/>
      <c r="V2" s="6"/>
      <c r="W2" s="6"/>
      <c r="X2" s="6" t="s">
        <v>31</v>
      </c>
      <c r="Y2" s="6" t="s">
        <v>32</v>
      </c>
    </row>
    <row r="3" spans="1:25" x14ac:dyDescent="0.25">
      <c r="A3" s="6" t="s">
        <v>21</v>
      </c>
      <c r="B3" s="12">
        <v>46177</v>
      </c>
      <c r="C3" s="6" t="s">
        <v>22</v>
      </c>
      <c r="D3" s="6" t="s">
        <v>23</v>
      </c>
      <c r="E3" s="6" t="s">
        <v>33</v>
      </c>
      <c r="F3" s="6" t="s">
        <v>230</v>
      </c>
      <c r="G3" s="6" t="s">
        <v>26</v>
      </c>
      <c r="H3" s="6" t="s">
        <v>40</v>
      </c>
      <c r="I3" s="6"/>
      <c r="J3" s="6"/>
      <c r="K3" s="6"/>
      <c r="L3" s="6" t="s">
        <v>171</v>
      </c>
      <c r="M3" s="6" t="s">
        <v>225</v>
      </c>
      <c r="N3" s="6" t="str">
        <f>_xlfn.XLOOKUP(O3,'Governance Dimension_Topics'!$C$3:$C$16,'Governance Dimension_Topics'!$B$3:$B$16,"None",0)</f>
        <v>Economic</v>
      </c>
      <c r="O3" s="6" t="s">
        <v>35</v>
      </c>
      <c r="P3" s="6" t="str">
        <f>_xlfn.XLOOKUP(Q3,'Governance Dimension_Topics'!$C$3:$C$16,'Governance Dimension_Topics'!$B$3:$B$16,"None",0)</f>
        <v>Institutional</v>
      </c>
      <c r="Q3" s="6" t="s">
        <v>37</v>
      </c>
      <c r="R3" s="6" t="str">
        <f>_xlfn.XLOOKUP(S3,'Governance Dimension_Topics'!$C$3:$C$16,'Governance Dimension_Topics'!$B$3:$B$16,"None",0)</f>
        <v>Legal</v>
      </c>
      <c r="S3" s="6" t="s">
        <v>39</v>
      </c>
      <c r="T3" s="6"/>
      <c r="U3" s="6"/>
      <c r="V3" s="6"/>
      <c r="W3" s="6"/>
      <c r="X3" s="6" t="s">
        <v>31</v>
      </c>
      <c r="Y3" s="6" t="s">
        <v>41</v>
      </c>
    </row>
    <row r="4" spans="1:25" x14ac:dyDescent="0.25">
      <c r="A4" s="6" t="s">
        <v>21</v>
      </c>
      <c r="B4" s="12">
        <v>46177</v>
      </c>
      <c r="C4" s="6" t="s">
        <v>22</v>
      </c>
      <c r="D4" s="6" t="s">
        <v>23</v>
      </c>
      <c r="E4" s="6" t="s">
        <v>42</v>
      </c>
      <c r="F4" s="6" t="s">
        <v>230</v>
      </c>
      <c r="G4" s="6" t="s">
        <v>26</v>
      </c>
      <c r="H4" s="6" t="s">
        <v>43</v>
      </c>
      <c r="I4" s="6" t="s">
        <v>174</v>
      </c>
      <c r="J4" s="6"/>
      <c r="K4" s="6"/>
      <c r="L4" s="6" t="s">
        <v>171</v>
      </c>
      <c r="M4" s="6" t="s">
        <v>225</v>
      </c>
      <c r="N4" s="6" t="str">
        <f>_xlfn.XLOOKUP(O4,'Governance Dimension_Topics'!$C$3:$C$16,'Governance Dimension_Topics'!$B$3:$B$16,"None",0)</f>
        <v>Political Economy</v>
      </c>
      <c r="O4" s="7" t="s">
        <v>29</v>
      </c>
      <c r="P4" s="6" t="str">
        <f>_xlfn.XLOOKUP(Q4,'Governance Dimension_Topics'!$C$3:$C$16,'Governance Dimension_Topics'!$B$3:$B$16,"None",0)</f>
        <v>Economic</v>
      </c>
      <c r="Q4" s="7" t="s">
        <v>147</v>
      </c>
      <c r="R4" s="6" t="str">
        <f>_xlfn.XLOOKUP(S4,'Governance Dimension_Topics'!$C$3:$C$16,'Governance Dimension_Topics'!$B$3:$B$16,"None",0)</f>
        <v>Legal</v>
      </c>
      <c r="S4" s="7" t="s">
        <v>94</v>
      </c>
      <c r="T4" s="6"/>
      <c r="U4" s="6"/>
      <c r="V4" s="6"/>
      <c r="W4" s="6"/>
      <c r="X4" s="6" t="s">
        <v>31</v>
      </c>
      <c r="Y4" s="6" t="s">
        <v>44</v>
      </c>
    </row>
    <row r="5" spans="1:25" x14ac:dyDescent="0.25">
      <c r="A5" s="6" t="s">
        <v>21</v>
      </c>
      <c r="B5" s="12">
        <v>46177</v>
      </c>
      <c r="C5" s="6" t="s">
        <v>22</v>
      </c>
      <c r="D5" s="6" t="s">
        <v>23</v>
      </c>
      <c r="E5" s="6" t="s">
        <v>45</v>
      </c>
      <c r="F5" s="6" t="s">
        <v>230</v>
      </c>
      <c r="G5" s="6" t="s">
        <v>26</v>
      </c>
      <c r="H5" s="6" t="s">
        <v>47</v>
      </c>
      <c r="I5" s="6" t="s">
        <v>162</v>
      </c>
      <c r="J5" s="6" t="s">
        <v>211</v>
      </c>
      <c r="K5" s="6" t="s">
        <v>174</v>
      </c>
      <c r="L5" s="6" t="s">
        <v>171</v>
      </c>
      <c r="M5" s="6" t="s">
        <v>225</v>
      </c>
      <c r="N5" s="6" t="str">
        <f>_xlfn.XLOOKUP(O5,'Governance Dimension_Topics'!$C$3:$C$16,'Governance Dimension_Topics'!$B$3:$B$16,"None",0)</f>
        <v>Legal</v>
      </c>
      <c r="O5" s="6" t="s">
        <v>39</v>
      </c>
      <c r="P5" s="6" t="str">
        <f>_xlfn.XLOOKUP(Q5,'Governance Dimension_Topics'!$C$3:$C$16,'Governance Dimension_Topics'!$B$3:$B$16,"None",0)</f>
        <v>Legal</v>
      </c>
      <c r="Q5" s="6" t="s">
        <v>39</v>
      </c>
      <c r="R5" s="6" t="str">
        <f>_xlfn.XLOOKUP(S5,'Governance Dimension_Topics'!$C$3:$C$16,'Governance Dimension_Topics'!$B$3:$B$16,"None",0)</f>
        <v>Political Economy</v>
      </c>
      <c r="S5" s="6" t="s">
        <v>29</v>
      </c>
      <c r="T5" s="6" t="str">
        <f>_xlfn.XLOOKUP(U5,'Governance Dimension_Topics'!$C$3:$C$16,'Governance Dimension_Topics'!$B$3:$B$16,"None",0)</f>
        <v>Regulatory</v>
      </c>
      <c r="U5" s="7" t="s">
        <v>157</v>
      </c>
      <c r="V5" s="6"/>
      <c r="W5" s="6"/>
      <c r="X5" s="6" t="s">
        <v>48</v>
      </c>
      <c r="Y5" s="6" t="s">
        <v>49</v>
      </c>
    </row>
    <row r="6" spans="1:25" x14ac:dyDescent="0.25">
      <c r="A6" s="6" t="s">
        <v>21</v>
      </c>
      <c r="B6" s="12">
        <v>46177</v>
      </c>
      <c r="C6" s="6" t="s">
        <v>22</v>
      </c>
      <c r="D6" s="6" t="s">
        <v>23</v>
      </c>
      <c r="E6" s="6" t="s">
        <v>50</v>
      </c>
      <c r="F6" s="6" t="s">
        <v>230</v>
      </c>
      <c r="G6" s="6" t="s">
        <v>26</v>
      </c>
      <c r="H6" s="6" t="s">
        <v>52</v>
      </c>
      <c r="I6" s="6" t="s">
        <v>174</v>
      </c>
      <c r="J6" s="6"/>
      <c r="K6" s="6"/>
      <c r="L6" s="6" t="s">
        <v>171</v>
      </c>
      <c r="M6" s="6" t="s">
        <v>225</v>
      </c>
      <c r="N6" s="6" t="str">
        <f>_xlfn.XLOOKUP(O6,'Governance Dimension_Topics'!$C$3:$C$16,'Governance Dimension_Topics'!$B$3:$B$16,"None",0)</f>
        <v>Political Economy</v>
      </c>
      <c r="O6" s="7" t="s">
        <v>29</v>
      </c>
      <c r="P6" s="6" t="str">
        <f>_xlfn.XLOOKUP(Q6,'Governance Dimension_Topics'!$C$3:$C$16,'Governance Dimension_Topics'!$B$3:$B$16,"None",0)</f>
        <v>Institutional</v>
      </c>
      <c r="Q6" s="6" t="s">
        <v>37</v>
      </c>
      <c r="R6" s="6" t="str">
        <f>_xlfn.XLOOKUP(S6,'Governance Dimension_Topics'!$C$3:$C$16,'Governance Dimension_Topics'!$B$3:$B$16,"None",0)</f>
        <v>Institutional</v>
      </c>
      <c r="S6" s="6" t="s">
        <v>51</v>
      </c>
      <c r="T6" s="6"/>
      <c r="U6" s="6"/>
      <c r="V6" s="6"/>
      <c r="W6" s="6"/>
      <c r="X6" s="6" t="s">
        <v>31</v>
      </c>
      <c r="Y6" s="6" t="s">
        <v>53</v>
      </c>
    </row>
    <row r="7" spans="1:25" x14ac:dyDescent="0.25">
      <c r="A7" s="6" t="s">
        <v>21</v>
      </c>
      <c r="B7" s="12">
        <v>46177</v>
      </c>
      <c r="C7" s="6" t="s">
        <v>22</v>
      </c>
      <c r="D7" s="6" t="s">
        <v>23</v>
      </c>
      <c r="E7" s="6" t="s">
        <v>54</v>
      </c>
      <c r="F7" s="6" t="s">
        <v>230</v>
      </c>
      <c r="G7" s="6" t="s">
        <v>26</v>
      </c>
      <c r="H7" s="6" t="s">
        <v>56</v>
      </c>
      <c r="I7" s="6" t="s">
        <v>174</v>
      </c>
      <c r="J7" s="6"/>
      <c r="K7" s="6"/>
      <c r="L7" s="6" t="s">
        <v>171</v>
      </c>
      <c r="M7" s="6" t="s">
        <v>225</v>
      </c>
      <c r="N7" s="6"/>
      <c r="O7" s="6"/>
      <c r="P7" s="6"/>
      <c r="Q7" s="6"/>
      <c r="R7" s="6"/>
      <c r="S7" s="6"/>
      <c r="T7" s="6"/>
      <c r="U7" s="6"/>
      <c r="V7" s="6"/>
      <c r="W7" s="6"/>
      <c r="X7" s="6" t="s">
        <v>31</v>
      </c>
      <c r="Y7" s="6" t="s">
        <v>57</v>
      </c>
    </row>
    <row r="8" spans="1:25" ht="15.75" customHeight="1" x14ac:dyDescent="0.25">
      <c r="A8" s="6" t="s">
        <v>21</v>
      </c>
      <c r="B8" s="12">
        <v>46177</v>
      </c>
      <c r="C8" s="6" t="s">
        <v>22</v>
      </c>
      <c r="D8" s="6" t="s">
        <v>23</v>
      </c>
      <c r="E8" s="6" t="s">
        <v>58</v>
      </c>
      <c r="F8" s="6" t="s">
        <v>25</v>
      </c>
      <c r="G8" s="6" t="s">
        <v>59</v>
      </c>
      <c r="H8" s="6" t="s">
        <v>61</v>
      </c>
      <c r="I8" s="6" t="s">
        <v>231</v>
      </c>
      <c r="J8" s="6"/>
      <c r="K8" s="6"/>
      <c r="L8" s="6" t="s">
        <v>428</v>
      </c>
      <c r="M8" s="6" t="s">
        <v>64</v>
      </c>
      <c r="N8" s="6" t="str">
        <f>_xlfn.XLOOKUP(O8,'Governance Dimension_Topics'!$C$3:$C$16,'Governance Dimension_Topics'!$B$3:$B$16,"None",0)</f>
        <v>Technical</v>
      </c>
      <c r="O8" s="6" t="s">
        <v>193</v>
      </c>
      <c r="P8" s="6" t="str">
        <f>_xlfn.XLOOKUP(Q8,'Governance Dimension_Topics'!$C$3:$C$16,'Governance Dimension_Topics'!$B$3:$B$16,"None",0)</f>
        <v>Legal</v>
      </c>
      <c r="Q8" s="6" t="s">
        <v>39</v>
      </c>
      <c r="R8" s="6"/>
      <c r="S8" s="6"/>
      <c r="T8" s="6"/>
      <c r="U8" s="6"/>
      <c r="V8" s="6"/>
      <c r="W8" s="6"/>
      <c r="X8" s="6" t="s">
        <v>31</v>
      </c>
      <c r="Y8" s="6" t="s">
        <v>62</v>
      </c>
    </row>
    <row r="9" spans="1:25" x14ac:dyDescent="0.25">
      <c r="A9" s="6" t="s">
        <v>21</v>
      </c>
      <c r="B9" s="12">
        <v>46177</v>
      </c>
      <c r="C9" s="6" t="s">
        <v>22</v>
      </c>
      <c r="D9" s="6" t="s">
        <v>23</v>
      </c>
      <c r="E9" s="6" t="s">
        <v>54</v>
      </c>
      <c r="F9" s="6" t="s">
        <v>25</v>
      </c>
      <c r="G9" s="6" t="s">
        <v>59</v>
      </c>
      <c r="H9" s="6" t="s">
        <v>61</v>
      </c>
      <c r="I9" s="6" t="s">
        <v>231</v>
      </c>
      <c r="J9" s="6"/>
      <c r="K9" s="6"/>
      <c r="L9" s="6" t="s">
        <v>428</v>
      </c>
      <c r="M9" s="6" t="s">
        <v>64</v>
      </c>
      <c r="N9" s="6" t="str">
        <f>_xlfn.XLOOKUP(O9,'Governance Dimension_Topics'!$C$3:$C$16,'Governance Dimension_Topics'!$B$3:$B$16,"None",0)</f>
        <v>Economic</v>
      </c>
      <c r="O9" s="6" t="s">
        <v>35</v>
      </c>
      <c r="P9" s="6" t="str">
        <f>_xlfn.XLOOKUP(Q9,'Governance Dimension_Topics'!$C$3:$C$16,'Governance Dimension_Topics'!$B$3:$B$16,"None",0)</f>
        <v>Economic</v>
      </c>
      <c r="Q9" s="6" t="s">
        <v>35</v>
      </c>
      <c r="R9" s="6"/>
      <c r="S9" s="6"/>
      <c r="T9" s="6"/>
      <c r="U9" s="6"/>
      <c r="V9" s="6"/>
      <c r="W9" s="6"/>
      <c r="X9" s="6" t="s">
        <v>31</v>
      </c>
      <c r="Y9" s="6" t="s">
        <v>63</v>
      </c>
    </row>
    <row r="10" spans="1:25" x14ac:dyDescent="0.25">
      <c r="A10" s="6" t="s">
        <v>21</v>
      </c>
      <c r="B10" s="12">
        <v>46177</v>
      </c>
      <c r="C10" s="6" t="s">
        <v>22</v>
      </c>
      <c r="D10" s="6" t="s">
        <v>23</v>
      </c>
      <c r="E10" s="6" t="s">
        <v>64</v>
      </c>
      <c r="F10" s="6" t="s">
        <v>55</v>
      </c>
      <c r="G10" s="6" t="s">
        <v>59</v>
      </c>
      <c r="H10" s="6" t="s">
        <v>61</v>
      </c>
      <c r="I10" s="6" t="s">
        <v>231</v>
      </c>
      <c r="J10" s="6" t="s">
        <v>231</v>
      </c>
      <c r="K10" s="6"/>
      <c r="L10" s="6" t="s">
        <v>428</v>
      </c>
      <c r="M10" s="6" t="s">
        <v>64</v>
      </c>
      <c r="N10" s="6"/>
      <c r="O10" s="6"/>
      <c r="P10" s="6"/>
      <c r="Q10" s="6"/>
      <c r="R10" s="6"/>
      <c r="S10" s="6"/>
      <c r="T10" s="6"/>
      <c r="U10" s="6"/>
      <c r="V10" s="6"/>
      <c r="W10" s="6"/>
      <c r="X10" s="6" t="s">
        <v>31</v>
      </c>
      <c r="Y10" s="6" t="s">
        <v>65</v>
      </c>
    </row>
    <row r="11" spans="1:25" x14ac:dyDescent="0.25">
      <c r="A11" s="6" t="s">
        <v>21</v>
      </c>
      <c r="B11" s="12">
        <v>46177</v>
      </c>
      <c r="C11" s="6" t="s">
        <v>22</v>
      </c>
      <c r="D11" s="6" t="s">
        <v>23</v>
      </c>
      <c r="E11" s="6" t="s">
        <v>54</v>
      </c>
      <c r="F11" s="6" t="s">
        <v>25</v>
      </c>
      <c r="G11" s="6" t="s">
        <v>59</v>
      </c>
      <c r="H11" s="6" t="s">
        <v>66</v>
      </c>
      <c r="I11" s="6" t="s">
        <v>231</v>
      </c>
      <c r="J11" s="6"/>
      <c r="K11" s="6"/>
      <c r="L11" s="6" t="s">
        <v>429</v>
      </c>
      <c r="M11" s="6" t="s">
        <v>64</v>
      </c>
      <c r="N11" s="6" t="str">
        <f>_xlfn.XLOOKUP(O11,'Governance Dimension_Topics'!$C$3:$C$16,'Governance Dimension_Topics'!$B$3:$B$16,"None",0)</f>
        <v>Legal</v>
      </c>
      <c r="O11" s="7" t="s">
        <v>39</v>
      </c>
      <c r="P11" s="6" t="str">
        <f>_xlfn.XLOOKUP(Q11,'Governance Dimension_Topics'!$C$3:$C$16,'Governance Dimension_Topics'!$B$3:$B$16,"None",0)</f>
        <v>Economic</v>
      </c>
      <c r="Q11" s="6" t="s">
        <v>35</v>
      </c>
      <c r="R11" s="6"/>
      <c r="S11" s="6"/>
      <c r="T11" s="6"/>
      <c r="U11" s="6"/>
      <c r="V11" s="6"/>
      <c r="W11" s="6"/>
      <c r="X11" s="6" t="s">
        <v>31</v>
      </c>
      <c r="Y11" s="6" t="s">
        <v>67</v>
      </c>
    </row>
    <row r="12" spans="1:25" x14ac:dyDescent="0.25">
      <c r="A12" s="6" t="s">
        <v>21</v>
      </c>
      <c r="B12" s="12">
        <v>46177</v>
      </c>
      <c r="C12" s="6" t="s">
        <v>22</v>
      </c>
      <c r="D12" s="6" t="s">
        <v>23</v>
      </c>
      <c r="E12" s="6" t="s">
        <v>68</v>
      </c>
      <c r="F12" s="6" t="s">
        <v>25</v>
      </c>
      <c r="G12" s="6" t="s">
        <v>59</v>
      </c>
      <c r="H12" s="6" t="s">
        <v>66</v>
      </c>
      <c r="I12" s="6" t="s">
        <v>231</v>
      </c>
      <c r="J12" s="6"/>
      <c r="K12" s="6"/>
      <c r="L12" s="6" t="s">
        <v>429</v>
      </c>
      <c r="M12" s="6" t="s">
        <v>64</v>
      </c>
      <c r="N12" s="6" t="str">
        <f>_xlfn.XLOOKUP(O12,'Governance Dimension_Topics'!$C$3:$C$16,'Governance Dimension_Topics'!$B$3:$B$16,"None",0)</f>
        <v>Technical</v>
      </c>
      <c r="O12" s="6" t="s">
        <v>193</v>
      </c>
      <c r="P12" s="6" t="str">
        <f>_xlfn.XLOOKUP(Q12,'Governance Dimension_Topics'!$C$3:$C$16,'Governance Dimension_Topics'!$B$3:$B$16,"None",0)</f>
        <v>Economic</v>
      </c>
      <c r="Q12" s="6" t="s">
        <v>35</v>
      </c>
      <c r="R12" s="6" t="str">
        <f>_xlfn.XLOOKUP(S12,'Governance Dimension_Topics'!$C$3:$C$16,'Governance Dimension_Topics'!$B$3:$B$16,"None",0)</f>
        <v>Legal</v>
      </c>
      <c r="S12" s="7" t="s">
        <v>94</v>
      </c>
      <c r="T12" s="6" t="str">
        <f>_xlfn.XLOOKUP(U12,'Governance Dimension_Topics'!$C$3:$C$16,'Governance Dimension_Topics'!$B$3:$B$16,"None",0)</f>
        <v>Development</v>
      </c>
      <c r="U12" s="6" t="s">
        <v>188</v>
      </c>
      <c r="V12" s="6"/>
      <c r="W12" s="6"/>
      <c r="X12" s="6" t="s">
        <v>31</v>
      </c>
      <c r="Y12" s="6" t="s">
        <v>69</v>
      </c>
    </row>
    <row r="13" spans="1:25" x14ac:dyDescent="0.25">
      <c r="A13" s="6" t="s">
        <v>21</v>
      </c>
      <c r="B13" s="12">
        <v>46177</v>
      </c>
      <c r="C13" s="6" t="s">
        <v>22</v>
      </c>
      <c r="D13" s="6" t="s">
        <v>23</v>
      </c>
      <c r="E13" s="6" t="s">
        <v>70</v>
      </c>
      <c r="F13" s="6" t="s">
        <v>25</v>
      </c>
      <c r="G13" s="6" t="s">
        <v>59</v>
      </c>
      <c r="H13" s="6" t="s">
        <v>66</v>
      </c>
      <c r="I13" s="6" t="s">
        <v>231</v>
      </c>
      <c r="J13" s="6"/>
      <c r="K13" s="6"/>
      <c r="L13" s="6" t="s">
        <v>429</v>
      </c>
      <c r="M13" s="6" t="s">
        <v>64</v>
      </c>
      <c r="N13" s="6" t="str">
        <f>_xlfn.XLOOKUP(O13,'Governance Dimension_Topics'!$C$3:$C$16,'Governance Dimension_Topics'!$B$3:$B$16,"None",0)</f>
        <v>Economic</v>
      </c>
      <c r="O13" s="6" t="s">
        <v>35</v>
      </c>
      <c r="P13" s="6" t="str">
        <f>_xlfn.XLOOKUP(Q13,'Governance Dimension_Topics'!$C$3:$C$16,'Governance Dimension_Topics'!$B$3:$B$16,"None",0)</f>
        <v>Development</v>
      </c>
      <c r="Q13" s="6" t="s">
        <v>188</v>
      </c>
      <c r="R13" s="6"/>
      <c r="S13" s="6"/>
      <c r="T13" s="6"/>
      <c r="U13" s="6"/>
      <c r="V13" s="6"/>
      <c r="W13" s="6"/>
      <c r="X13" s="6" t="s">
        <v>48</v>
      </c>
      <c r="Y13" s="6" t="s">
        <v>71</v>
      </c>
    </row>
    <row r="14" spans="1:25" x14ac:dyDescent="0.25">
      <c r="A14" s="6" t="s">
        <v>21</v>
      </c>
      <c r="B14" s="12">
        <v>46177</v>
      </c>
      <c r="C14" s="6" t="s">
        <v>22</v>
      </c>
      <c r="D14" s="6" t="s">
        <v>23</v>
      </c>
      <c r="E14" s="6" t="s">
        <v>72</v>
      </c>
      <c r="F14" s="6" t="s">
        <v>25</v>
      </c>
      <c r="G14" s="6" t="s">
        <v>59</v>
      </c>
      <c r="H14" s="6" t="s">
        <v>66</v>
      </c>
      <c r="I14" s="6" t="s">
        <v>231</v>
      </c>
      <c r="J14" s="6"/>
      <c r="K14" s="6"/>
      <c r="L14" s="6" t="s">
        <v>429</v>
      </c>
      <c r="M14" s="6" t="s">
        <v>64</v>
      </c>
      <c r="N14" s="6" t="str">
        <f>_xlfn.XLOOKUP(O14,'Governance Dimension_Topics'!$C$3:$C$16,'Governance Dimension_Topics'!$B$3:$B$16,"None",0)</f>
        <v>Development</v>
      </c>
      <c r="O14" s="6" t="s">
        <v>188</v>
      </c>
      <c r="P14" s="6" t="str">
        <f>_xlfn.XLOOKUP(Q14,'Governance Dimension_Topics'!$C$3:$C$16,'Governance Dimension_Topics'!$B$3:$B$16,"None",0)</f>
        <v>Legal</v>
      </c>
      <c r="Q14" s="6" t="s">
        <v>39</v>
      </c>
      <c r="R14" s="6" t="str">
        <f>_xlfn.XLOOKUP(S14,'Governance Dimension_Topics'!$C$3:$C$16,'Governance Dimension_Topics'!$B$3:$B$16,"None",0)</f>
        <v>Economic</v>
      </c>
      <c r="S14" s="6" t="s">
        <v>35</v>
      </c>
      <c r="T14" s="6"/>
      <c r="U14" s="6"/>
      <c r="V14" s="6"/>
      <c r="W14" s="6"/>
      <c r="X14" s="6" t="s">
        <v>48</v>
      </c>
      <c r="Y14" s="6" t="s">
        <v>73</v>
      </c>
    </row>
    <row r="15" spans="1:25" x14ac:dyDescent="0.25">
      <c r="A15" s="6" t="s">
        <v>21</v>
      </c>
      <c r="B15" s="12">
        <v>46177</v>
      </c>
      <c r="C15" s="6" t="s">
        <v>22</v>
      </c>
      <c r="D15" s="6" t="s">
        <v>23</v>
      </c>
      <c r="E15" s="6" t="s">
        <v>74</v>
      </c>
      <c r="F15" s="6" t="s">
        <v>25</v>
      </c>
      <c r="G15" s="6" t="s">
        <v>59</v>
      </c>
      <c r="H15" s="6" t="s">
        <v>66</v>
      </c>
      <c r="I15" s="6" t="s">
        <v>231</v>
      </c>
      <c r="J15" s="6"/>
      <c r="K15" s="6"/>
      <c r="L15" s="6" t="s">
        <v>429</v>
      </c>
      <c r="M15" s="6" t="s">
        <v>64</v>
      </c>
      <c r="N15" s="6" t="str">
        <f>_xlfn.XLOOKUP(O15,'Governance Dimension_Topics'!$C$3:$C$16,'Governance Dimension_Topics'!$B$3:$B$16,"None",0)</f>
        <v>Technical</v>
      </c>
      <c r="O15" s="6" t="s">
        <v>193</v>
      </c>
      <c r="P15" s="6"/>
      <c r="Q15" s="6"/>
      <c r="R15" s="6"/>
      <c r="S15" s="6"/>
      <c r="T15" s="6"/>
      <c r="U15" s="6"/>
      <c r="V15" s="6"/>
      <c r="W15" s="6"/>
      <c r="X15" s="6" t="s">
        <v>31</v>
      </c>
      <c r="Y15" s="6" t="s">
        <v>75</v>
      </c>
    </row>
    <row r="16" spans="1:25" x14ac:dyDescent="0.25">
      <c r="A16" s="6" t="s">
        <v>21</v>
      </c>
      <c r="B16" s="12">
        <v>46177</v>
      </c>
      <c r="C16" s="6" t="s">
        <v>22</v>
      </c>
      <c r="D16" s="6" t="s">
        <v>23</v>
      </c>
      <c r="E16" s="6" t="s">
        <v>76</v>
      </c>
      <c r="F16" s="6" t="s">
        <v>25</v>
      </c>
      <c r="G16" s="6" t="s">
        <v>59</v>
      </c>
      <c r="H16" s="6" t="s">
        <v>66</v>
      </c>
      <c r="I16" s="6" t="s">
        <v>231</v>
      </c>
      <c r="J16" s="6"/>
      <c r="K16" s="6"/>
      <c r="L16" s="6" t="s">
        <v>429</v>
      </c>
      <c r="M16" s="6" t="s">
        <v>64</v>
      </c>
      <c r="N16" s="6" t="str">
        <f>_xlfn.XLOOKUP(O16,'Governance Dimension_Topics'!$C$3:$C$16,'Governance Dimension_Topics'!$B$3:$B$16,"None",0)</f>
        <v>Economic</v>
      </c>
      <c r="O16" s="6" t="s">
        <v>35</v>
      </c>
      <c r="P16" s="6" t="str">
        <f>_xlfn.XLOOKUP(Q16,'Governance Dimension_Topics'!$C$3:$C$16,'Governance Dimension_Topics'!$B$3:$B$16,"None",0)</f>
        <v>Legal</v>
      </c>
      <c r="Q16" s="8" t="s">
        <v>39</v>
      </c>
      <c r="R16" s="6" t="str">
        <f>_xlfn.XLOOKUP(S16,'Governance Dimension_Topics'!$C$3:$C$16,'Governance Dimension_Topics'!$B$3:$B$16,"None",0)</f>
        <v>Development</v>
      </c>
      <c r="S16" s="6" t="s">
        <v>188</v>
      </c>
      <c r="T16" s="6"/>
      <c r="U16" s="6"/>
      <c r="V16" s="6"/>
      <c r="W16" s="6"/>
      <c r="X16" s="6" t="s">
        <v>48</v>
      </c>
      <c r="Y16" s="6" t="s">
        <v>77</v>
      </c>
    </row>
    <row r="17" spans="1:25" x14ac:dyDescent="0.25">
      <c r="A17" s="6" t="s">
        <v>21</v>
      </c>
      <c r="B17" s="12">
        <v>46177</v>
      </c>
      <c r="C17" s="6" t="s">
        <v>22</v>
      </c>
      <c r="D17" s="6" t="s">
        <v>23</v>
      </c>
      <c r="E17" s="6" t="s">
        <v>78</v>
      </c>
      <c r="F17" s="6" t="s">
        <v>25</v>
      </c>
      <c r="G17" s="6" t="s">
        <v>59</v>
      </c>
      <c r="H17" s="6" t="s">
        <v>66</v>
      </c>
      <c r="I17" s="6" t="s">
        <v>231</v>
      </c>
      <c r="J17" s="6"/>
      <c r="K17" s="6"/>
      <c r="L17" s="6" t="s">
        <v>429</v>
      </c>
      <c r="M17" s="6" t="s">
        <v>64</v>
      </c>
      <c r="N17" s="6" t="str">
        <f>_xlfn.XLOOKUP(O17,'Governance Dimension_Topics'!$C$3:$C$16,'Governance Dimension_Topics'!$B$3:$B$16,"None",0)</f>
        <v>Economic</v>
      </c>
      <c r="O17" s="6" t="s">
        <v>35</v>
      </c>
      <c r="P17" s="6" t="str">
        <f>_xlfn.XLOOKUP(Q17,'Governance Dimension_Topics'!$C$3:$C$16,'Governance Dimension_Topics'!$B$3:$B$16,"None",0)</f>
        <v>Legal</v>
      </c>
      <c r="Q17" s="8" t="s">
        <v>39</v>
      </c>
      <c r="R17" s="6" t="str">
        <f>_xlfn.XLOOKUP(S17,'Governance Dimension_Topics'!$C$3:$C$16,'Governance Dimension_Topics'!$B$3:$B$16,"None",0)</f>
        <v>Legal</v>
      </c>
      <c r="S17" s="6" t="s">
        <v>39</v>
      </c>
      <c r="T17" s="6" t="str">
        <f>_xlfn.XLOOKUP(U17,'Governance Dimension_Topics'!$C$3:$C$16,'Governance Dimension_Topics'!$B$3:$B$16,"None",0)</f>
        <v>Technical</v>
      </c>
      <c r="U17" s="6" t="s">
        <v>193</v>
      </c>
      <c r="V17" s="6"/>
      <c r="W17" s="6"/>
      <c r="X17" s="6" t="s">
        <v>48</v>
      </c>
      <c r="Y17" s="6" t="s">
        <v>77</v>
      </c>
    </row>
    <row r="18" spans="1:25" x14ac:dyDescent="0.25">
      <c r="A18" s="6" t="s">
        <v>21</v>
      </c>
      <c r="B18" s="12">
        <v>46177</v>
      </c>
      <c r="C18" s="6" t="s">
        <v>22</v>
      </c>
      <c r="D18" s="6" t="s">
        <v>23</v>
      </c>
      <c r="E18" s="6" t="s">
        <v>79</v>
      </c>
      <c r="F18" s="6" t="s">
        <v>25</v>
      </c>
      <c r="G18" s="6" t="s">
        <v>59</v>
      </c>
      <c r="H18" s="6" t="s">
        <v>66</v>
      </c>
      <c r="I18" s="6" t="s">
        <v>231</v>
      </c>
      <c r="J18" s="6"/>
      <c r="K18" s="6"/>
      <c r="L18" s="6" t="s">
        <v>429</v>
      </c>
      <c r="M18" s="6" t="s">
        <v>64</v>
      </c>
      <c r="N18" s="6" t="str">
        <f>_xlfn.XLOOKUP(O18,'Governance Dimension_Topics'!$C$3:$C$16,'Governance Dimension_Topics'!$B$3:$B$16,"None",0)</f>
        <v>Economic</v>
      </c>
      <c r="O18" s="6" t="s">
        <v>35</v>
      </c>
      <c r="P18" s="6" t="str">
        <f>_xlfn.XLOOKUP(Q18,'Governance Dimension_Topics'!$C$3:$C$16,'Governance Dimension_Topics'!$B$3:$B$16,"None",0)</f>
        <v>Legal</v>
      </c>
      <c r="Q18" s="8" t="s">
        <v>39</v>
      </c>
      <c r="R18" s="6"/>
      <c r="S18" s="6"/>
      <c r="T18" s="6"/>
      <c r="U18" s="6"/>
      <c r="V18" s="6"/>
      <c r="W18" s="6"/>
      <c r="X18" s="6" t="s">
        <v>48</v>
      </c>
      <c r="Y18" s="6" t="s">
        <v>80</v>
      </c>
    </row>
    <row r="19" spans="1:25" x14ac:dyDescent="0.25">
      <c r="A19" s="6" t="s">
        <v>21</v>
      </c>
      <c r="B19" s="12">
        <v>46177</v>
      </c>
      <c r="C19" s="6" t="s">
        <v>22</v>
      </c>
      <c r="D19" s="6" t="s">
        <v>23</v>
      </c>
      <c r="E19" s="6" t="s">
        <v>24</v>
      </c>
      <c r="F19" s="6" t="s">
        <v>25</v>
      </c>
      <c r="G19" s="6" t="s">
        <v>59</v>
      </c>
      <c r="H19" s="6" t="s">
        <v>66</v>
      </c>
      <c r="I19" s="6" t="s">
        <v>231</v>
      </c>
      <c r="J19" s="6"/>
      <c r="K19" s="6"/>
      <c r="L19" s="6" t="s">
        <v>429</v>
      </c>
      <c r="M19" s="6" t="s">
        <v>64</v>
      </c>
      <c r="N19" s="6" t="str">
        <f>_xlfn.XLOOKUP(O19,'Governance Dimension_Topics'!$C$3:$C$16,'Governance Dimension_Topics'!$B$3:$B$16,"None",0)</f>
        <v>Technical</v>
      </c>
      <c r="O19" s="6" t="s">
        <v>193</v>
      </c>
      <c r="P19" s="6"/>
      <c r="Q19" s="6"/>
      <c r="R19" s="6"/>
      <c r="S19" s="6"/>
      <c r="T19" s="6"/>
      <c r="U19" s="6"/>
      <c r="V19" s="6"/>
      <c r="W19" s="6"/>
      <c r="X19" s="6" t="s">
        <v>48</v>
      </c>
      <c r="Y19" s="6" t="s">
        <v>81</v>
      </c>
    </row>
    <row r="20" spans="1:25" x14ac:dyDescent="0.25">
      <c r="A20" s="6" t="s">
        <v>21</v>
      </c>
      <c r="B20" s="12">
        <v>46177</v>
      </c>
      <c r="C20" s="6" t="s">
        <v>22</v>
      </c>
      <c r="D20" s="6" t="s">
        <v>23</v>
      </c>
      <c r="E20" s="6" t="s">
        <v>82</v>
      </c>
      <c r="F20" s="6" t="s">
        <v>25</v>
      </c>
      <c r="G20" s="6" t="s">
        <v>59</v>
      </c>
      <c r="H20" s="6" t="s">
        <v>66</v>
      </c>
      <c r="I20" s="6" t="s">
        <v>231</v>
      </c>
      <c r="J20" s="6"/>
      <c r="K20" s="6"/>
      <c r="L20" s="6" t="s">
        <v>429</v>
      </c>
      <c r="M20" s="6" t="s">
        <v>64</v>
      </c>
      <c r="N20" s="6" t="str">
        <f>_xlfn.XLOOKUP(O20,'Governance Dimension_Topics'!$C$3:$C$16,'Governance Dimension_Topics'!$B$3:$B$16,"None",0)</f>
        <v>Economic</v>
      </c>
      <c r="O20" s="6" t="s">
        <v>35</v>
      </c>
      <c r="P20" s="6" t="str">
        <f>_xlfn.XLOOKUP(Q20,'Governance Dimension_Topics'!$C$3:$C$16,'Governance Dimension_Topics'!$B$3:$B$16,"None",0)</f>
        <v>Technical</v>
      </c>
      <c r="Q20" s="6" t="s">
        <v>193</v>
      </c>
      <c r="R20" s="6"/>
      <c r="S20" s="6"/>
      <c r="T20" s="6"/>
      <c r="U20" s="6"/>
      <c r="V20" s="6"/>
      <c r="W20" s="6"/>
      <c r="X20" s="6" t="s">
        <v>48</v>
      </c>
      <c r="Y20" s="6" t="s">
        <v>83</v>
      </c>
    </row>
    <row r="21" spans="1:25" x14ac:dyDescent="0.25">
      <c r="A21" s="6" t="s">
        <v>21</v>
      </c>
      <c r="B21" s="12">
        <v>46177</v>
      </c>
      <c r="C21" s="6" t="s">
        <v>22</v>
      </c>
      <c r="D21" s="6" t="s">
        <v>23</v>
      </c>
      <c r="E21" s="6" t="s">
        <v>84</v>
      </c>
      <c r="F21" s="6" t="s">
        <v>25</v>
      </c>
      <c r="G21" s="6" t="s">
        <v>59</v>
      </c>
      <c r="H21" s="6" t="s">
        <v>66</v>
      </c>
      <c r="I21" s="6" t="s">
        <v>231</v>
      </c>
      <c r="J21" s="6"/>
      <c r="K21" s="6"/>
      <c r="L21" s="6" t="s">
        <v>429</v>
      </c>
      <c r="M21" s="6" t="s">
        <v>64</v>
      </c>
      <c r="N21" s="6" t="str">
        <f>_xlfn.XLOOKUP(O21,'Governance Dimension_Topics'!$C$3:$C$16,'Governance Dimension_Topics'!$B$3:$B$16,"None",0)</f>
        <v>Economic</v>
      </c>
      <c r="O21" s="6" t="s">
        <v>35</v>
      </c>
      <c r="P21" s="6" t="str">
        <f>_xlfn.XLOOKUP(Q21,'Governance Dimension_Topics'!$C$3:$C$16,'Governance Dimension_Topics'!$B$3:$B$16,"None",0)</f>
        <v>Legal</v>
      </c>
      <c r="Q21" s="8" t="s">
        <v>39</v>
      </c>
      <c r="R21" s="6" t="str">
        <f>_xlfn.XLOOKUP(S21,'Governance Dimension_Topics'!$C$3:$C$16,'Governance Dimension_Topics'!$B$3:$B$16,"None",0)</f>
        <v>Development</v>
      </c>
      <c r="S21" s="6" t="s">
        <v>188</v>
      </c>
      <c r="T21" s="6"/>
      <c r="U21" s="6"/>
      <c r="V21" s="6"/>
      <c r="W21" s="6"/>
      <c r="X21" s="6" t="s">
        <v>48</v>
      </c>
      <c r="Y21" s="6" t="s">
        <v>85</v>
      </c>
    </row>
    <row r="22" spans="1:25" x14ac:dyDescent="0.25">
      <c r="A22" s="6" t="s">
        <v>21</v>
      </c>
      <c r="B22" s="12">
        <v>46177</v>
      </c>
      <c r="C22" s="6" t="s">
        <v>22</v>
      </c>
      <c r="D22" s="6" t="s">
        <v>23</v>
      </c>
      <c r="E22" s="6" t="s">
        <v>86</v>
      </c>
      <c r="F22" s="6" t="s">
        <v>25</v>
      </c>
      <c r="G22" s="6" t="s">
        <v>59</v>
      </c>
      <c r="H22" s="6" t="s">
        <v>66</v>
      </c>
      <c r="I22" s="6" t="s">
        <v>231</v>
      </c>
      <c r="J22" s="6"/>
      <c r="K22" s="6"/>
      <c r="L22" s="6" t="s">
        <v>429</v>
      </c>
      <c r="M22" s="6" t="s">
        <v>64</v>
      </c>
      <c r="N22" s="6" t="str">
        <f>_xlfn.XLOOKUP(O22,'Governance Dimension_Topics'!$C$3:$C$16,'Governance Dimension_Topics'!$B$3:$B$16,"None",0)</f>
        <v>Economic</v>
      </c>
      <c r="O22" s="6" t="s">
        <v>35</v>
      </c>
      <c r="P22" s="6" t="str">
        <f>_xlfn.XLOOKUP(Q22,'Governance Dimension_Topics'!$C$3:$C$16,'Governance Dimension_Topics'!$B$3:$B$16,"None",0)</f>
        <v>Technical</v>
      </c>
      <c r="Q22" s="6" t="s">
        <v>193</v>
      </c>
      <c r="R22" s="6"/>
      <c r="S22" s="6"/>
      <c r="T22" s="6"/>
      <c r="U22" s="6"/>
      <c r="V22" s="6"/>
      <c r="W22" s="6"/>
      <c r="X22" s="6" t="s">
        <v>48</v>
      </c>
      <c r="Y22" s="6" t="s">
        <v>87</v>
      </c>
    </row>
    <row r="23" spans="1:25" x14ac:dyDescent="0.25">
      <c r="A23" s="6" t="s">
        <v>21</v>
      </c>
      <c r="B23" s="12">
        <v>46177</v>
      </c>
      <c r="C23" s="6" t="s">
        <v>22</v>
      </c>
      <c r="D23" s="6" t="s">
        <v>23</v>
      </c>
      <c r="E23" s="6" t="s">
        <v>64</v>
      </c>
      <c r="F23" s="6" t="s">
        <v>55</v>
      </c>
      <c r="G23" s="6" t="s">
        <v>59</v>
      </c>
      <c r="H23" s="6" t="s">
        <v>66</v>
      </c>
      <c r="I23" s="6" t="s">
        <v>231</v>
      </c>
      <c r="J23" s="6"/>
      <c r="K23" s="6"/>
      <c r="L23" s="6" t="s">
        <v>429</v>
      </c>
      <c r="M23" s="6" t="s">
        <v>64</v>
      </c>
      <c r="N23" s="6"/>
      <c r="O23" s="6"/>
      <c r="P23" s="6"/>
      <c r="Q23" s="6"/>
      <c r="R23" s="6"/>
      <c r="S23" s="6"/>
      <c r="T23" s="6"/>
      <c r="U23" s="6"/>
      <c r="V23" s="6"/>
      <c r="W23" s="6"/>
      <c r="X23" s="6" t="s">
        <v>31</v>
      </c>
      <c r="Y23" s="6" t="s">
        <v>88</v>
      </c>
    </row>
    <row r="24" spans="1:25" x14ac:dyDescent="0.25">
      <c r="A24" s="6" t="s">
        <v>21</v>
      </c>
      <c r="B24" s="12">
        <v>46177</v>
      </c>
      <c r="C24" s="6" t="s">
        <v>22</v>
      </c>
      <c r="D24" s="6" t="s">
        <v>23</v>
      </c>
      <c r="E24" s="6" t="s">
        <v>64</v>
      </c>
      <c r="F24" s="6" t="s">
        <v>25</v>
      </c>
      <c r="G24" s="6" t="s">
        <v>26</v>
      </c>
      <c r="H24" s="6" t="s">
        <v>89</v>
      </c>
      <c r="I24" s="6" t="s">
        <v>162</v>
      </c>
      <c r="J24" s="6"/>
      <c r="K24" s="6"/>
      <c r="L24" s="6" t="s">
        <v>430</v>
      </c>
      <c r="M24" s="6" t="s">
        <v>33</v>
      </c>
      <c r="N24" s="6" t="str">
        <f>_xlfn.XLOOKUP(O24,'Governance Dimension_Topics'!$C$3:$C$16,'Governance Dimension_Topics'!$B$3:$B$16,"None",0)</f>
        <v>Political Economy</v>
      </c>
      <c r="O24" s="6" t="s">
        <v>29</v>
      </c>
      <c r="P24" s="6" t="str">
        <f>_xlfn.XLOOKUP(Q24,'Governance Dimension_Topics'!$C$3:$C$16,'Governance Dimension_Topics'!$B$3:$B$16,"None",0)</f>
        <v>Legal</v>
      </c>
      <c r="Q24" s="6" t="s">
        <v>39</v>
      </c>
      <c r="R24" s="6" t="str">
        <f>_xlfn.XLOOKUP(S24,'Governance Dimension_Topics'!$C$3:$C$16,'Governance Dimension_Topics'!$B$3:$B$16,"None",0)</f>
        <v>Legal</v>
      </c>
      <c r="S24" s="8" t="s">
        <v>39</v>
      </c>
      <c r="T24" s="6"/>
      <c r="U24" s="6"/>
      <c r="V24" s="6"/>
      <c r="W24" s="6"/>
      <c r="X24" s="6" t="s">
        <v>31</v>
      </c>
      <c r="Y24" s="6" t="s">
        <v>90</v>
      </c>
    </row>
    <row r="25" spans="1:25" x14ac:dyDescent="0.25">
      <c r="A25" s="6" t="s">
        <v>21</v>
      </c>
      <c r="B25" s="12">
        <v>46177</v>
      </c>
      <c r="C25" s="6" t="s">
        <v>22</v>
      </c>
      <c r="D25" s="6" t="s">
        <v>23</v>
      </c>
      <c r="E25" s="6" t="s">
        <v>24</v>
      </c>
      <c r="F25" s="6" t="s">
        <v>25</v>
      </c>
      <c r="G25" s="6" t="s">
        <v>26</v>
      </c>
      <c r="H25" s="6" t="s">
        <v>89</v>
      </c>
      <c r="I25" s="6" t="s">
        <v>162</v>
      </c>
      <c r="J25" s="6"/>
      <c r="K25" s="6"/>
      <c r="L25" s="6" t="s">
        <v>430</v>
      </c>
      <c r="M25" s="6" t="s">
        <v>33</v>
      </c>
      <c r="N25" s="6" t="str">
        <f>_xlfn.XLOOKUP(O25,'Governance Dimension_Topics'!$C$3:$C$16,'Governance Dimension_Topics'!$B$3:$B$16,"None",0)</f>
        <v>Economic</v>
      </c>
      <c r="O25" s="6" t="s">
        <v>35</v>
      </c>
      <c r="P25" s="6"/>
      <c r="Q25" s="6"/>
      <c r="R25" s="6"/>
      <c r="S25" s="8"/>
      <c r="T25" s="6"/>
      <c r="U25" s="6"/>
      <c r="V25" s="6"/>
      <c r="W25" s="6"/>
      <c r="X25" s="6"/>
      <c r="Y25" s="6"/>
    </row>
    <row r="26" spans="1:25" x14ac:dyDescent="0.25">
      <c r="A26" s="6" t="s">
        <v>21</v>
      </c>
      <c r="B26" s="12">
        <v>46177</v>
      </c>
      <c r="C26" s="6" t="s">
        <v>22</v>
      </c>
      <c r="D26" s="6" t="s">
        <v>23</v>
      </c>
      <c r="E26" s="6" t="s">
        <v>54</v>
      </c>
      <c r="F26" s="6" t="s">
        <v>25</v>
      </c>
      <c r="G26" s="6" t="s">
        <v>26</v>
      </c>
      <c r="H26" s="6" t="s">
        <v>89</v>
      </c>
      <c r="I26" s="6" t="s">
        <v>162</v>
      </c>
      <c r="J26" s="6"/>
      <c r="K26" s="6"/>
      <c r="L26" s="6" t="s">
        <v>430</v>
      </c>
      <c r="M26" s="6" t="s">
        <v>33</v>
      </c>
      <c r="N26" s="6" t="str">
        <f>_xlfn.XLOOKUP(O26,'Governance Dimension_Topics'!$C$3:$C$16,'Governance Dimension_Topics'!$B$3:$B$16,"None",0)</f>
        <v>Legal</v>
      </c>
      <c r="O26" s="7" t="s">
        <v>94</v>
      </c>
      <c r="P26" s="6"/>
      <c r="Q26" s="6"/>
      <c r="R26" s="6"/>
      <c r="S26" s="8"/>
      <c r="T26" s="6"/>
      <c r="U26" s="6"/>
      <c r="V26" s="6"/>
      <c r="W26" s="6"/>
      <c r="X26" s="6"/>
      <c r="Y26" s="6"/>
    </row>
    <row r="27" spans="1:25" x14ac:dyDescent="0.25">
      <c r="A27" s="6" t="s">
        <v>21</v>
      </c>
      <c r="B27" s="12">
        <v>46177</v>
      </c>
      <c r="C27" s="6" t="s">
        <v>22</v>
      </c>
      <c r="D27" s="6" t="s">
        <v>23</v>
      </c>
      <c r="E27" s="6" t="s">
        <v>70</v>
      </c>
      <c r="F27" s="6" t="s">
        <v>25</v>
      </c>
      <c r="G27" s="6" t="s">
        <v>26</v>
      </c>
      <c r="H27" s="6" t="s">
        <v>89</v>
      </c>
      <c r="I27" s="6" t="s">
        <v>162</v>
      </c>
      <c r="J27" s="6"/>
      <c r="K27" s="6"/>
      <c r="L27" s="6" t="s">
        <v>430</v>
      </c>
      <c r="M27" s="6" t="s">
        <v>33</v>
      </c>
      <c r="N27" s="6" t="str">
        <f>_xlfn.XLOOKUP(O27,'Governance Dimension_Topics'!$C$3:$C$16,'Governance Dimension_Topics'!$B$3:$B$16,"None",0)</f>
        <v>Economic</v>
      </c>
      <c r="O27" s="6" t="s">
        <v>35</v>
      </c>
      <c r="P27" s="6"/>
      <c r="Q27" s="6"/>
      <c r="R27" s="6"/>
      <c r="S27" s="8"/>
      <c r="T27" s="6"/>
      <c r="U27" s="6"/>
      <c r="V27" s="6"/>
      <c r="W27" s="6"/>
      <c r="X27" s="6"/>
      <c r="Y27" s="6"/>
    </row>
    <row r="28" spans="1:25" x14ac:dyDescent="0.25">
      <c r="A28" s="6" t="s">
        <v>21</v>
      </c>
      <c r="B28" s="12">
        <v>46177</v>
      </c>
      <c r="C28" s="6" t="s">
        <v>22</v>
      </c>
      <c r="D28" s="6" t="s">
        <v>23</v>
      </c>
      <c r="E28" s="6" t="s">
        <v>86</v>
      </c>
      <c r="F28" s="6" t="s">
        <v>25</v>
      </c>
      <c r="G28" s="6" t="s">
        <v>26</v>
      </c>
      <c r="H28" s="6" t="s">
        <v>89</v>
      </c>
      <c r="I28" s="6" t="s">
        <v>162</v>
      </c>
      <c r="J28" s="6"/>
      <c r="K28" s="6"/>
      <c r="L28" s="6" t="s">
        <v>430</v>
      </c>
      <c r="M28" s="6" t="s">
        <v>33</v>
      </c>
      <c r="N28" s="6" t="str">
        <f>_xlfn.XLOOKUP(O28,'Governance Dimension_Topics'!$C$3:$C$16,'Governance Dimension_Topics'!$B$3:$B$16,"None",0)</f>
        <v>Economic</v>
      </c>
      <c r="O28" s="6" t="s">
        <v>35</v>
      </c>
      <c r="P28" s="6"/>
      <c r="Q28" s="6"/>
      <c r="R28" s="6"/>
      <c r="S28" s="8"/>
      <c r="T28" s="6"/>
      <c r="U28" s="6"/>
      <c r="V28" s="6"/>
      <c r="W28" s="6"/>
      <c r="X28" s="6"/>
      <c r="Y28" s="6"/>
    </row>
    <row r="29" spans="1:25" x14ac:dyDescent="0.25">
      <c r="A29" s="6" t="s">
        <v>21</v>
      </c>
      <c r="B29" s="12">
        <v>46177</v>
      </c>
      <c r="C29" s="6" t="s">
        <v>22</v>
      </c>
      <c r="D29" s="6" t="s">
        <v>23</v>
      </c>
      <c r="E29" s="6" t="s">
        <v>182</v>
      </c>
      <c r="F29" s="6" t="s">
        <v>25</v>
      </c>
      <c r="G29" s="6" t="s">
        <v>26</v>
      </c>
      <c r="H29" s="6" t="s">
        <v>89</v>
      </c>
      <c r="I29" s="6" t="s">
        <v>162</v>
      </c>
      <c r="J29" s="6"/>
      <c r="K29" s="6"/>
      <c r="L29" s="6" t="s">
        <v>430</v>
      </c>
      <c r="M29" s="6" t="s">
        <v>33</v>
      </c>
      <c r="N29" s="6" t="str">
        <f>_xlfn.XLOOKUP(O29,'Governance Dimension_Topics'!$C$3:$C$16,'Governance Dimension_Topics'!$B$3:$B$16,"None",0)</f>
        <v>Legal</v>
      </c>
      <c r="O29" s="7" t="s">
        <v>94</v>
      </c>
      <c r="P29" s="6" t="str">
        <f>_xlfn.XLOOKUP(Q29,'Governance Dimension_Topics'!$C$3:$C$16,'Governance Dimension_Topics'!$B$3:$B$16,"None",0)</f>
        <v>Economic</v>
      </c>
      <c r="Q29" s="6" t="s">
        <v>35</v>
      </c>
      <c r="R29" s="6"/>
      <c r="S29" s="8"/>
      <c r="T29" s="6"/>
      <c r="U29" s="6"/>
      <c r="V29" s="6"/>
      <c r="W29" s="6"/>
      <c r="X29" s="6"/>
      <c r="Y29" s="6"/>
    </row>
    <row r="30" spans="1:25" x14ac:dyDescent="0.25">
      <c r="A30" s="6" t="s">
        <v>21</v>
      </c>
      <c r="B30" s="12">
        <v>46177</v>
      </c>
      <c r="C30" s="6" t="s">
        <v>22</v>
      </c>
      <c r="D30" s="6" t="s">
        <v>23</v>
      </c>
      <c r="E30" s="6" t="s">
        <v>181</v>
      </c>
      <c r="F30" s="6" t="s">
        <v>25</v>
      </c>
      <c r="G30" s="6" t="s">
        <v>26</v>
      </c>
      <c r="H30" s="6" t="s">
        <v>89</v>
      </c>
      <c r="I30" s="6" t="s">
        <v>162</v>
      </c>
      <c r="J30" s="6"/>
      <c r="K30" s="6"/>
      <c r="L30" s="6" t="s">
        <v>430</v>
      </c>
      <c r="M30" s="6" t="s">
        <v>33</v>
      </c>
      <c r="N30" s="6" t="str">
        <f>_xlfn.XLOOKUP(O30,'Governance Dimension_Topics'!$C$3:$C$16,'Governance Dimension_Topics'!$B$3:$B$16,"None",0)</f>
        <v>Legal</v>
      </c>
      <c r="O30" s="6" t="s">
        <v>39</v>
      </c>
      <c r="P30" s="6" t="str">
        <f>_xlfn.XLOOKUP(Q30,'Governance Dimension_Topics'!$C$3:$C$16,'Governance Dimension_Topics'!$B$3:$B$16,"None",0)</f>
        <v>Legal</v>
      </c>
      <c r="Q30" s="7" t="s">
        <v>94</v>
      </c>
      <c r="R30" s="6" t="str">
        <f>_xlfn.XLOOKUP(S30,'Governance Dimension_Topics'!$C$3:$C$16,'Governance Dimension_Topics'!$B$3:$B$16,"None",0)</f>
        <v>Economic</v>
      </c>
      <c r="S30" s="6" t="s">
        <v>35</v>
      </c>
      <c r="T30" s="6"/>
      <c r="U30" s="6"/>
      <c r="V30" s="6"/>
      <c r="W30" s="6"/>
      <c r="X30" s="6"/>
      <c r="Y30" s="6"/>
    </row>
    <row r="31" spans="1:25" x14ac:dyDescent="0.25">
      <c r="A31" s="6" t="s">
        <v>21</v>
      </c>
      <c r="B31" s="12">
        <v>46177</v>
      </c>
      <c r="C31" s="6" t="s">
        <v>22</v>
      </c>
      <c r="D31" s="6" t="s">
        <v>23</v>
      </c>
      <c r="E31" s="6" t="s">
        <v>125</v>
      </c>
      <c r="F31" s="6" t="s">
        <v>25</v>
      </c>
      <c r="G31" s="6" t="s">
        <v>26</v>
      </c>
      <c r="H31" s="6" t="s">
        <v>89</v>
      </c>
      <c r="I31" s="6" t="s">
        <v>162</v>
      </c>
      <c r="J31" s="6"/>
      <c r="K31" s="6"/>
      <c r="L31" s="6" t="s">
        <v>430</v>
      </c>
      <c r="M31" s="6" t="s">
        <v>33</v>
      </c>
      <c r="N31" s="6" t="str">
        <f>_xlfn.XLOOKUP(O31,'Governance Dimension_Topics'!$C$3:$C$16,'Governance Dimension_Topics'!$B$3:$B$16,"None",0)</f>
        <v>Legal</v>
      </c>
      <c r="O31" s="7" t="s">
        <v>94</v>
      </c>
      <c r="P31" s="6" t="str">
        <f>_xlfn.XLOOKUP(Q31,'Governance Dimension_Topics'!$C$3:$C$16,'Governance Dimension_Topics'!$B$3:$B$16,"None",0)</f>
        <v>Economic</v>
      </c>
      <c r="Q31" s="6" t="s">
        <v>35</v>
      </c>
      <c r="R31" s="6"/>
      <c r="S31" s="8"/>
      <c r="T31" s="6"/>
      <c r="U31" s="6"/>
      <c r="V31" s="6"/>
      <c r="W31" s="6"/>
      <c r="X31" s="6"/>
      <c r="Y31" s="6"/>
    </row>
    <row r="32" spans="1:25" x14ac:dyDescent="0.25">
      <c r="A32" s="6" t="s">
        <v>21</v>
      </c>
      <c r="B32" s="12">
        <v>46177</v>
      </c>
      <c r="C32" s="6" t="s">
        <v>22</v>
      </c>
      <c r="D32" s="6" t="s">
        <v>23</v>
      </c>
      <c r="E32" s="6" t="s">
        <v>33</v>
      </c>
      <c r="F32" s="6" t="s">
        <v>55</v>
      </c>
      <c r="G32" s="6" t="s">
        <v>26</v>
      </c>
      <c r="H32" s="6" t="s">
        <v>89</v>
      </c>
      <c r="I32" s="6" t="s">
        <v>162</v>
      </c>
      <c r="J32" s="6"/>
      <c r="K32" s="6"/>
      <c r="L32" s="6" t="s">
        <v>430</v>
      </c>
      <c r="M32" s="6" t="s">
        <v>33</v>
      </c>
      <c r="N32" s="6"/>
      <c r="O32" s="6"/>
      <c r="P32" s="6"/>
      <c r="Q32" s="6"/>
      <c r="R32" s="6"/>
      <c r="S32" s="8"/>
      <c r="T32" s="6"/>
      <c r="U32" s="6"/>
      <c r="V32" s="6"/>
      <c r="W32" s="6"/>
      <c r="X32" s="6"/>
      <c r="Y32" s="6"/>
    </row>
    <row r="33" spans="1:25" x14ac:dyDescent="0.25">
      <c r="A33" s="6" t="s">
        <v>21</v>
      </c>
      <c r="B33" s="12">
        <v>46177</v>
      </c>
      <c r="C33" s="6" t="s">
        <v>22</v>
      </c>
      <c r="D33" s="6" t="s">
        <v>23</v>
      </c>
      <c r="E33" s="6" t="s">
        <v>58</v>
      </c>
      <c r="F33" s="6" t="s">
        <v>25</v>
      </c>
      <c r="G33" s="6" t="s">
        <v>26</v>
      </c>
      <c r="H33" s="6" t="s">
        <v>89</v>
      </c>
      <c r="I33" s="6" t="s">
        <v>162</v>
      </c>
      <c r="J33" s="6" t="s">
        <v>174</v>
      </c>
      <c r="K33" s="6"/>
      <c r="L33" s="6" t="s">
        <v>430</v>
      </c>
      <c r="M33" s="6" t="s">
        <v>33</v>
      </c>
      <c r="N33" s="6" t="str">
        <f>_xlfn.XLOOKUP(O33,'Governance Dimension_Topics'!$C$3:$C$16,'Governance Dimension_Topics'!$B$3:$B$16,"None",0)</f>
        <v>Political Economy</v>
      </c>
      <c r="O33" s="7" t="s">
        <v>29</v>
      </c>
      <c r="P33" s="6" t="str">
        <f>_xlfn.XLOOKUP(Q33,'Governance Dimension_Topics'!$C$3:$C$16,'Governance Dimension_Topics'!$B$3:$B$16,"None",0)</f>
        <v>Legal</v>
      </c>
      <c r="Q33" s="7" t="s">
        <v>94</v>
      </c>
      <c r="R33" s="6" t="str">
        <f>_xlfn.XLOOKUP(S33,'Governance Dimension_Topics'!$C$3:$C$16,'Governance Dimension_Topics'!$B$3:$B$16,"None",0)</f>
        <v>Legal</v>
      </c>
      <c r="S33" s="8" t="s">
        <v>39</v>
      </c>
      <c r="T33" s="6"/>
      <c r="U33" s="6"/>
      <c r="V33" s="6"/>
      <c r="W33" s="6"/>
      <c r="X33" s="6" t="s">
        <v>31</v>
      </c>
      <c r="Y33" s="6" t="s">
        <v>91</v>
      </c>
    </row>
    <row r="34" spans="1:25" x14ac:dyDescent="0.25">
      <c r="A34" s="6" t="s">
        <v>21</v>
      </c>
      <c r="B34" s="12">
        <v>46177</v>
      </c>
      <c r="C34" s="6" t="s">
        <v>22</v>
      </c>
      <c r="D34" s="6" t="s">
        <v>23</v>
      </c>
      <c r="E34" s="6" t="s">
        <v>33</v>
      </c>
      <c r="F34" s="6" t="s">
        <v>55</v>
      </c>
      <c r="G34" s="6" t="s">
        <v>26</v>
      </c>
      <c r="H34" s="6" t="s">
        <v>89</v>
      </c>
      <c r="I34" s="6" t="s">
        <v>162</v>
      </c>
      <c r="J34" s="6" t="s">
        <v>174</v>
      </c>
      <c r="K34" s="6"/>
      <c r="L34" s="6" t="s">
        <v>430</v>
      </c>
      <c r="M34" s="6" t="s">
        <v>33</v>
      </c>
      <c r="N34" s="6"/>
      <c r="O34" s="6"/>
      <c r="P34" s="6"/>
      <c r="Q34" s="6"/>
      <c r="R34" s="6"/>
      <c r="S34" s="6"/>
      <c r="T34" s="6"/>
      <c r="U34" s="6"/>
      <c r="V34" s="6"/>
      <c r="W34" s="6"/>
      <c r="X34" s="6" t="s">
        <v>31</v>
      </c>
      <c r="Y34" s="6" t="s">
        <v>92</v>
      </c>
    </row>
    <row r="35" spans="1:25" x14ac:dyDescent="0.25">
      <c r="A35" s="6" t="s">
        <v>21</v>
      </c>
      <c r="B35" s="12">
        <v>46177</v>
      </c>
      <c r="C35" s="6" t="s">
        <v>22</v>
      </c>
      <c r="D35" s="6" t="s">
        <v>23</v>
      </c>
      <c r="E35" s="6" t="s">
        <v>42</v>
      </c>
      <c r="F35" s="6" t="s">
        <v>25</v>
      </c>
      <c r="G35" s="6" t="s">
        <v>26</v>
      </c>
      <c r="H35" s="6" t="s">
        <v>96</v>
      </c>
      <c r="I35" s="6" t="s">
        <v>95</v>
      </c>
      <c r="J35" s="6"/>
      <c r="K35" s="6"/>
      <c r="L35" s="6" t="s">
        <v>431</v>
      </c>
      <c r="M35" s="6" t="s">
        <v>163</v>
      </c>
      <c r="N35" s="6" t="str">
        <f>_xlfn.XLOOKUP(O35,'Governance Dimension_Topics'!$C$3:$C$16,'Governance Dimension_Topics'!$B$3:$B$16,"None",0)</f>
        <v>Political Economy</v>
      </c>
      <c r="O35" s="6" t="s">
        <v>29</v>
      </c>
      <c r="P35" s="6" t="str">
        <f>_xlfn.XLOOKUP(Q35,'Governance Dimension_Topics'!$C$3:$C$16,'Governance Dimension_Topics'!$B$3:$B$16,"None",0)</f>
        <v>Legal</v>
      </c>
      <c r="Q35" s="6" t="s">
        <v>39</v>
      </c>
      <c r="R35" s="6"/>
      <c r="S35" s="6"/>
      <c r="T35" s="6"/>
      <c r="U35" s="6"/>
      <c r="V35" s="6"/>
      <c r="W35" s="6"/>
      <c r="X35" s="6" t="s">
        <v>31</v>
      </c>
      <c r="Y35" s="6" t="s">
        <v>97</v>
      </c>
    </row>
    <row r="36" spans="1:25" x14ac:dyDescent="0.25">
      <c r="A36" s="6" t="s">
        <v>21</v>
      </c>
      <c r="B36" s="12">
        <v>46177</v>
      </c>
      <c r="C36" s="6" t="s">
        <v>22</v>
      </c>
      <c r="D36" s="6" t="s">
        <v>23</v>
      </c>
      <c r="E36" s="6" t="s">
        <v>64</v>
      </c>
      <c r="F36" s="6" t="s">
        <v>55</v>
      </c>
      <c r="G36" s="6" t="s">
        <v>26</v>
      </c>
      <c r="H36" s="6" t="s">
        <v>96</v>
      </c>
      <c r="I36" s="6" t="s">
        <v>95</v>
      </c>
      <c r="J36" s="6"/>
      <c r="K36" s="6"/>
      <c r="L36" s="6" t="s">
        <v>431</v>
      </c>
      <c r="M36" s="6" t="s">
        <v>163</v>
      </c>
      <c r="N36" s="6"/>
      <c r="O36" s="6"/>
      <c r="P36" s="6"/>
      <c r="Q36" s="6"/>
      <c r="R36" s="6"/>
      <c r="S36" s="6"/>
      <c r="T36" s="6"/>
      <c r="U36" s="6"/>
      <c r="V36" s="6"/>
      <c r="W36" s="6"/>
      <c r="X36" s="6" t="s">
        <v>31</v>
      </c>
      <c r="Y36" s="6" t="s">
        <v>98</v>
      </c>
    </row>
    <row r="37" spans="1:25" x14ac:dyDescent="0.25">
      <c r="A37" s="6" t="s">
        <v>21</v>
      </c>
      <c r="B37" s="12">
        <v>46177</v>
      </c>
      <c r="C37" s="6" t="s">
        <v>22</v>
      </c>
      <c r="D37" s="6" t="s">
        <v>23</v>
      </c>
      <c r="E37" s="8" t="s">
        <v>74</v>
      </c>
      <c r="F37" s="8" t="s">
        <v>25</v>
      </c>
      <c r="G37" s="8" t="s">
        <v>59</v>
      </c>
      <c r="H37" s="8" t="s">
        <v>165</v>
      </c>
      <c r="I37" s="8" t="s">
        <v>211</v>
      </c>
      <c r="J37" s="9"/>
      <c r="K37" s="8"/>
      <c r="L37" s="8" t="s">
        <v>99</v>
      </c>
      <c r="M37" s="6" t="s">
        <v>64</v>
      </c>
      <c r="N37" s="6" t="str">
        <f>_xlfn.XLOOKUP(O37,'Governance Dimension_Topics'!$C$3:$C$16,'Governance Dimension_Topics'!$B$3:$B$16,"None",0)</f>
        <v>Economic</v>
      </c>
      <c r="O37" s="8" t="s">
        <v>35</v>
      </c>
      <c r="P37" s="6" t="str">
        <f>_xlfn.XLOOKUP(Q37,'Governance Dimension_Topics'!$C$3:$C$16,'Governance Dimension_Topics'!$B$3:$B$16,"None",0)</f>
        <v>Legal</v>
      </c>
      <c r="Q37" s="6" t="s">
        <v>39</v>
      </c>
      <c r="R37" s="6" t="str">
        <f>_xlfn.XLOOKUP(S37,'Governance Dimension_Topics'!$C$3:$C$16,'Governance Dimension_Topics'!$B$3:$B$16,"None",0)</f>
        <v>Technical</v>
      </c>
      <c r="S37" s="6" t="s">
        <v>193</v>
      </c>
      <c r="T37" s="6"/>
      <c r="U37" s="6"/>
      <c r="V37" s="6"/>
      <c r="W37" s="6"/>
      <c r="X37" s="8" t="s">
        <v>31</v>
      </c>
      <c r="Y37" s="8" t="s">
        <v>100</v>
      </c>
    </row>
    <row r="38" spans="1:25" x14ac:dyDescent="0.25">
      <c r="A38" s="6" t="s">
        <v>21</v>
      </c>
      <c r="B38" s="12">
        <v>46177</v>
      </c>
      <c r="C38" s="6" t="s">
        <v>22</v>
      </c>
      <c r="D38" s="6" t="s">
        <v>23</v>
      </c>
      <c r="E38" s="8" t="s">
        <v>68</v>
      </c>
      <c r="F38" s="8" t="s">
        <v>25</v>
      </c>
      <c r="G38" s="8" t="s">
        <v>59</v>
      </c>
      <c r="H38" s="8" t="s">
        <v>165</v>
      </c>
      <c r="I38" s="8" t="s">
        <v>211</v>
      </c>
      <c r="J38" s="9"/>
      <c r="K38" s="8"/>
      <c r="L38" s="8" t="s">
        <v>99</v>
      </c>
      <c r="M38" s="6" t="s">
        <v>64</v>
      </c>
      <c r="N38" s="6" t="str">
        <f>_xlfn.XLOOKUP(O38,'Governance Dimension_Topics'!$C$3:$C$16,'Governance Dimension_Topics'!$B$3:$B$16,"None",0)</f>
        <v>Development</v>
      </c>
      <c r="O38" s="8" t="s">
        <v>93</v>
      </c>
      <c r="P38" s="6" t="str">
        <f>_xlfn.XLOOKUP(Q38,'Governance Dimension_Topics'!$C$3:$C$16,'Governance Dimension_Topics'!$B$3:$B$16,"None",0)</f>
        <v>Legal</v>
      </c>
      <c r="Q38" s="6" t="s">
        <v>39</v>
      </c>
      <c r="R38" s="6" t="str">
        <f>_xlfn.XLOOKUP(S38,'Governance Dimension_Topics'!$C$3:$C$16,'Governance Dimension_Topics'!$B$3:$B$16,"None",0)</f>
        <v>Development</v>
      </c>
      <c r="S38" s="6" t="s">
        <v>188</v>
      </c>
      <c r="T38" s="6"/>
      <c r="U38" s="6"/>
      <c r="V38" s="6"/>
      <c r="W38" s="6"/>
      <c r="X38" s="8" t="s">
        <v>31</v>
      </c>
      <c r="Y38" s="8" t="s">
        <v>101</v>
      </c>
    </row>
    <row r="39" spans="1:25" x14ac:dyDescent="0.25">
      <c r="A39" s="6" t="s">
        <v>21</v>
      </c>
      <c r="B39" s="12">
        <v>46177</v>
      </c>
      <c r="C39" s="6" t="s">
        <v>22</v>
      </c>
      <c r="D39" s="6" t="s">
        <v>23</v>
      </c>
      <c r="E39" s="8" t="s">
        <v>33</v>
      </c>
      <c r="F39" s="8" t="s">
        <v>25</v>
      </c>
      <c r="G39" s="8" t="s">
        <v>59</v>
      </c>
      <c r="H39" s="8" t="s">
        <v>165</v>
      </c>
      <c r="I39" s="8" t="s">
        <v>211</v>
      </c>
      <c r="J39" s="9"/>
      <c r="K39" s="8"/>
      <c r="L39" s="8" t="s">
        <v>99</v>
      </c>
      <c r="M39" s="6" t="s">
        <v>64</v>
      </c>
      <c r="N39" s="6" t="str">
        <f>_xlfn.XLOOKUP(O39,'Governance Dimension_Topics'!$C$3:$C$16,'Governance Dimension_Topics'!$B$3:$B$16,"None",0)</f>
        <v>Legal</v>
      </c>
      <c r="O39" s="8" t="s">
        <v>39</v>
      </c>
      <c r="P39" s="6" t="str">
        <f>_xlfn.XLOOKUP(Q39,'Governance Dimension_Topics'!$C$3:$C$16,'Governance Dimension_Topics'!$B$3:$B$16,"None",0)</f>
        <v>Development</v>
      </c>
      <c r="Q39" s="8" t="s">
        <v>93</v>
      </c>
      <c r="R39" s="6" t="str">
        <f>_xlfn.XLOOKUP(S39,'Governance Dimension_Topics'!$C$3:$C$16,'Governance Dimension_Topics'!$B$3:$B$16,"None",0)</f>
        <v>Economic</v>
      </c>
      <c r="S39" s="6" t="s">
        <v>35</v>
      </c>
      <c r="T39" s="6" t="str">
        <f>_xlfn.XLOOKUP(U39,'Governance Dimension_Topics'!$C$3:$C$16,'Governance Dimension_Topics'!$B$3:$B$16,"None",0)</f>
        <v>Regulatory</v>
      </c>
      <c r="U39" s="7" t="s">
        <v>157</v>
      </c>
      <c r="V39" s="6"/>
      <c r="W39" s="6"/>
      <c r="X39" s="8" t="s">
        <v>31</v>
      </c>
      <c r="Y39" s="8" t="s">
        <v>102</v>
      </c>
    </row>
    <row r="40" spans="1:25" x14ac:dyDescent="0.25">
      <c r="A40" s="6" t="s">
        <v>21</v>
      </c>
      <c r="B40" s="12">
        <v>46177</v>
      </c>
      <c r="C40" s="6" t="s">
        <v>22</v>
      </c>
      <c r="D40" s="6" t="s">
        <v>23</v>
      </c>
      <c r="E40" s="8" t="s">
        <v>72</v>
      </c>
      <c r="F40" s="8" t="s">
        <v>25</v>
      </c>
      <c r="G40" s="8" t="s">
        <v>59</v>
      </c>
      <c r="H40" s="8" t="s">
        <v>165</v>
      </c>
      <c r="I40" s="8" t="s">
        <v>211</v>
      </c>
      <c r="J40" s="9"/>
      <c r="K40" s="8"/>
      <c r="L40" s="8" t="s">
        <v>99</v>
      </c>
      <c r="M40" s="6" t="s">
        <v>64</v>
      </c>
      <c r="N40" s="6" t="str">
        <f>_xlfn.XLOOKUP(O40,'Governance Dimension_Topics'!$C$3:$C$16,'Governance Dimension_Topics'!$B$3:$B$16,"None",0)</f>
        <v>Development</v>
      </c>
      <c r="O40" s="8" t="s">
        <v>93</v>
      </c>
      <c r="P40" s="6" t="str">
        <f>_xlfn.XLOOKUP(Q40,'Governance Dimension_Topics'!$C$3:$C$16,'Governance Dimension_Topics'!$B$3:$B$16,"None",0)</f>
        <v>Legal</v>
      </c>
      <c r="Q40" s="6" t="s">
        <v>39</v>
      </c>
      <c r="R40" s="6" t="str">
        <f>_xlfn.XLOOKUP(S40,'Governance Dimension_Topics'!$C$3:$C$16,'Governance Dimension_Topics'!$B$3:$B$16,"None",0)</f>
        <v>Economic</v>
      </c>
      <c r="S40" s="6" t="s">
        <v>35</v>
      </c>
      <c r="T40" s="6" t="str">
        <f>_xlfn.XLOOKUP(U40,'Governance Dimension_Topics'!$C$3:$C$16,'Governance Dimension_Topics'!$B$3:$B$16,"None",0)</f>
        <v>Regulatory</v>
      </c>
      <c r="U40" s="7" t="s">
        <v>157</v>
      </c>
      <c r="V40" s="6"/>
      <c r="W40" s="6"/>
      <c r="X40" s="8" t="s">
        <v>31</v>
      </c>
      <c r="Y40" s="8" t="s">
        <v>103</v>
      </c>
    </row>
    <row r="41" spans="1:25" x14ac:dyDescent="0.25">
      <c r="A41" s="6" t="s">
        <v>21</v>
      </c>
      <c r="B41" s="12">
        <v>46177</v>
      </c>
      <c r="C41" s="6" t="s">
        <v>22</v>
      </c>
      <c r="D41" s="6" t="s">
        <v>23</v>
      </c>
      <c r="E41" s="8" t="s">
        <v>104</v>
      </c>
      <c r="F41" s="8" t="s">
        <v>25</v>
      </c>
      <c r="G41" s="8" t="s">
        <v>59</v>
      </c>
      <c r="H41" s="8" t="s">
        <v>165</v>
      </c>
      <c r="I41" s="8" t="s">
        <v>211</v>
      </c>
      <c r="J41" s="9"/>
      <c r="K41" s="8"/>
      <c r="L41" s="8" t="s">
        <v>99</v>
      </c>
      <c r="M41" s="6" t="s">
        <v>64</v>
      </c>
      <c r="N41" s="6" t="str">
        <f>_xlfn.XLOOKUP(O41,'Governance Dimension_Topics'!$C$3:$C$16,'Governance Dimension_Topics'!$B$3:$B$16,"None",0)</f>
        <v>Economic</v>
      </c>
      <c r="O41" s="7" t="s">
        <v>105</v>
      </c>
      <c r="P41" s="6" t="str">
        <f>_xlfn.XLOOKUP(Q41,'Governance Dimension_Topics'!$C$3:$C$16,'Governance Dimension_Topics'!$B$3:$B$16,"None",0)</f>
        <v>Technical</v>
      </c>
      <c r="Q41" s="8" t="s">
        <v>192</v>
      </c>
      <c r="R41" s="6" t="str">
        <f>_xlfn.XLOOKUP(S41,'Governance Dimension_Topics'!$C$3:$C$16,'Governance Dimension_Topics'!$B$3:$B$16,"None",0)</f>
        <v>Technical</v>
      </c>
      <c r="S41" s="8" t="s">
        <v>192</v>
      </c>
      <c r="T41" s="6"/>
      <c r="U41" s="6"/>
      <c r="V41" s="6"/>
      <c r="W41" s="6"/>
      <c r="X41" s="8" t="s">
        <v>31</v>
      </c>
      <c r="Y41" s="8" t="s">
        <v>106</v>
      </c>
    </row>
    <row r="42" spans="1:25" x14ac:dyDescent="0.25">
      <c r="A42" s="6" t="s">
        <v>21</v>
      </c>
      <c r="B42" s="12">
        <v>46177</v>
      </c>
      <c r="C42" s="6" t="s">
        <v>22</v>
      </c>
      <c r="D42" s="6" t="s">
        <v>23</v>
      </c>
      <c r="E42" s="8" t="s">
        <v>104</v>
      </c>
      <c r="F42" s="8" t="s">
        <v>34</v>
      </c>
      <c r="G42" s="8" t="s">
        <v>59</v>
      </c>
      <c r="H42" s="8" t="s">
        <v>165</v>
      </c>
      <c r="I42" s="6" t="s">
        <v>231</v>
      </c>
      <c r="J42" s="8"/>
      <c r="K42" s="8"/>
      <c r="L42" s="8" t="s">
        <v>99</v>
      </c>
      <c r="M42" s="6" t="s">
        <v>64</v>
      </c>
      <c r="N42" s="6" t="str">
        <f>_xlfn.XLOOKUP(O42,'Governance Dimension_Topics'!$C$3:$C$16,'Governance Dimension_Topics'!$B$3:$B$16,"None",0)</f>
        <v>Regulatory</v>
      </c>
      <c r="O42" s="8" t="s">
        <v>157</v>
      </c>
      <c r="P42" s="6"/>
      <c r="Q42" s="6"/>
      <c r="R42" s="6"/>
      <c r="S42" s="6"/>
      <c r="T42" s="6"/>
      <c r="U42" s="6"/>
      <c r="V42" s="6"/>
      <c r="W42" s="6"/>
      <c r="X42" s="8"/>
      <c r="Y42" s="8"/>
    </row>
    <row r="43" spans="1:25" x14ac:dyDescent="0.25">
      <c r="A43" s="6" t="s">
        <v>21</v>
      </c>
      <c r="B43" s="12">
        <v>46177</v>
      </c>
      <c r="C43" s="6" t="s">
        <v>22</v>
      </c>
      <c r="D43" s="6" t="s">
        <v>23</v>
      </c>
      <c r="E43" s="8" t="s">
        <v>24</v>
      </c>
      <c r="F43" s="8" t="s">
        <v>25</v>
      </c>
      <c r="G43" s="8" t="s">
        <v>59</v>
      </c>
      <c r="H43" s="8" t="s">
        <v>165</v>
      </c>
      <c r="I43" s="8" t="s">
        <v>211</v>
      </c>
      <c r="J43" s="9"/>
      <c r="K43" s="8"/>
      <c r="L43" s="8" t="s">
        <v>99</v>
      </c>
      <c r="M43" s="6" t="s">
        <v>64</v>
      </c>
      <c r="N43" s="6" t="str">
        <f>_xlfn.XLOOKUP(O43,'Governance Dimension_Topics'!$C$3:$C$16,'Governance Dimension_Topics'!$B$3:$B$16,"None",0)</f>
        <v>Development</v>
      </c>
      <c r="O43" s="8" t="s">
        <v>93</v>
      </c>
      <c r="P43" s="6" t="str">
        <f>_xlfn.XLOOKUP(Q43,'Governance Dimension_Topics'!$C$3:$C$16,'Governance Dimension_Topics'!$B$3:$B$16,"None",0)</f>
        <v>Economic</v>
      </c>
      <c r="Q43" s="8" t="s">
        <v>35</v>
      </c>
      <c r="R43" s="6" t="str">
        <f>_xlfn.XLOOKUP(S43,'Governance Dimension_Topics'!$C$3:$C$16,'Governance Dimension_Topics'!$B$3:$B$16,"None",0)</f>
        <v>Legal</v>
      </c>
      <c r="S43" s="8" t="s">
        <v>39</v>
      </c>
      <c r="T43" s="6"/>
      <c r="U43" s="8"/>
      <c r="V43" s="6"/>
      <c r="W43" s="6"/>
      <c r="X43" s="8"/>
      <c r="Y43" s="8"/>
    </row>
    <row r="44" spans="1:25" x14ac:dyDescent="0.25">
      <c r="A44" s="6" t="s">
        <v>21</v>
      </c>
      <c r="B44" s="12">
        <v>46177</v>
      </c>
      <c r="C44" s="6" t="s">
        <v>22</v>
      </c>
      <c r="D44" s="6" t="s">
        <v>23</v>
      </c>
      <c r="E44" s="8" t="s">
        <v>183</v>
      </c>
      <c r="F44" s="8" t="s">
        <v>34</v>
      </c>
      <c r="G44" s="8" t="s">
        <v>59</v>
      </c>
      <c r="H44" s="8" t="s">
        <v>165</v>
      </c>
      <c r="I44" s="6" t="s">
        <v>231</v>
      </c>
      <c r="J44" s="8"/>
      <c r="K44" s="8"/>
      <c r="L44" s="8" t="s">
        <v>99</v>
      </c>
      <c r="M44" s="6" t="s">
        <v>64</v>
      </c>
      <c r="N44" s="6" t="str">
        <f>_xlfn.XLOOKUP(O44,'Governance Dimension_Topics'!$C$3:$C$16,'Governance Dimension_Topics'!$B$3:$B$16,"None",0)</f>
        <v>Regulatory</v>
      </c>
      <c r="O44" s="8" t="s">
        <v>157</v>
      </c>
      <c r="P44" s="6" t="str">
        <f>_xlfn.XLOOKUP(Q44,'Governance Dimension_Topics'!$C$3:$C$16,'Governance Dimension_Topics'!$B$3:$B$16,"None",0)</f>
        <v>Technical</v>
      </c>
      <c r="Q44" s="8" t="s">
        <v>192</v>
      </c>
      <c r="R44" s="6"/>
      <c r="S44" s="6"/>
      <c r="T44" s="6"/>
      <c r="U44" s="8"/>
      <c r="V44" s="6"/>
      <c r="W44" s="6"/>
      <c r="X44" s="8"/>
      <c r="Y44" s="8"/>
    </row>
    <row r="45" spans="1:25" x14ac:dyDescent="0.25">
      <c r="A45" s="6" t="s">
        <v>21</v>
      </c>
      <c r="B45" s="12">
        <v>46177</v>
      </c>
      <c r="C45" s="6" t="s">
        <v>22</v>
      </c>
      <c r="D45" s="6" t="s">
        <v>23</v>
      </c>
      <c r="E45" s="6" t="s">
        <v>184</v>
      </c>
      <c r="F45" s="8" t="s">
        <v>25</v>
      </c>
      <c r="G45" s="8" t="s">
        <v>59</v>
      </c>
      <c r="H45" s="8" t="s">
        <v>165</v>
      </c>
      <c r="I45" s="8" t="s">
        <v>211</v>
      </c>
      <c r="J45" s="9"/>
      <c r="K45" s="6"/>
      <c r="L45" s="8" t="s">
        <v>99</v>
      </c>
      <c r="M45" s="6" t="s">
        <v>64</v>
      </c>
      <c r="N45" s="6" t="str">
        <f>_xlfn.XLOOKUP(O45,'Governance Dimension_Topics'!$C$3:$C$16,'Governance Dimension_Topics'!$B$3:$B$16,"None",0)</f>
        <v>Economic</v>
      </c>
      <c r="O45" s="6" t="s">
        <v>105</v>
      </c>
      <c r="P45" s="6" t="str">
        <f>_xlfn.XLOOKUP(Q45,'Governance Dimension_Topics'!$C$3:$C$16,'Governance Dimension_Topics'!$B$3:$B$16,"None",0)</f>
        <v>Regulatory</v>
      </c>
      <c r="Q45" s="7" t="s">
        <v>157</v>
      </c>
      <c r="R45" s="6" t="str">
        <f>_xlfn.XLOOKUP(S45,'Governance Dimension_Topics'!$C$3:$C$16,'Governance Dimension_Topics'!$B$3:$B$16,"None",0)</f>
        <v>Legal</v>
      </c>
      <c r="S45" s="6" t="s">
        <v>39</v>
      </c>
      <c r="T45" s="6"/>
      <c r="U45" s="6"/>
      <c r="V45" s="6"/>
      <c r="W45" s="6"/>
      <c r="X45" s="6"/>
      <c r="Y45" s="6"/>
    </row>
    <row r="46" spans="1:25" x14ac:dyDescent="0.25">
      <c r="A46" s="6" t="s">
        <v>21</v>
      </c>
      <c r="B46" s="12">
        <v>46177</v>
      </c>
      <c r="C46" s="6" t="s">
        <v>22</v>
      </c>
      <c r="D46" s="6" t="s">
        <v>23</v>
      </c>
      <c r="E46" s="8" t="s">
        <v>58</v>
      </c>
      <c r="F46" s="8" t="s">
        <v>25</v>
      </c>
      <c r="G46" s="8" t="s">
        <v>59</v>
      </c>
      <c r="H46" s="8" t="s">
        <v>165</v>
      </c>
      <c r="I46" s="8" t="s">
        <v>211</v>
      </c>
      <c r="J46" s="9"/>
      <c r="K46" s="6"/>
      <c r="L46" s="8" t="s">
        <v>99</v>
      </c>
      <c r="M46" s="6" t="s">
        <v>64</v>
      </c>
      <c r="N46" s="6" t="str">
        <f>_xlfn.XLOOKUP(O46,'Governance Dimension_Topics'!$C$3:$C$16,'Governance Dimension_Topics'!$B$3:$B$16,"None",0)</f>
        <v>Regulatory</v>
      </c>
      <c r="O46" s="8" t="s">
        <v>157</v>
      </c>
      <c r="P46" s="6" t="str">
        <f>_xlfn.XLOOKUP(Q46,'Governance Dimension_Topics'!$C$3:$C$16,'Governance Dimension_Topics'!$B$3:$B$16,"None",0)</f>
        <v>Economic</v>
      </c>
      <c r="Q46" s="6" t="s">
        <v>105</v>
      </c>
      <c r="R46" s="6" t="str">
        <f>_xlfn.XLOOKUP(S46,'Governance Dimension_Topics'!$C$3:$C$16,'Governance Dimension_Topics'!$B$3:$B$16,"None",0)</f>
        <v>Technical</v>
      </c>
      <c r="S46" s="8" t="s">
        <v>192</v>
      </c>
      <c r="T46" s="6"/>
      <c r="U46" s="6"/>
      <c r="V46" s="6"/>
      <c r="W46" s="6"/>
      <c r="X46" s="6"/>
      <c r="Y46" s="6"/>
    </row>
    <row r="47" spans="1:25" x14ac:dyDescent="0.25">
      <c r="A47" s="6" t="s">
        <v>21</v>
      </c>
      <c r="B47" s="12">
        <v>46177</v>
      </c>
      <c r="C47" s="6" t="s">
        <v>22</v>
      </c>
      <c r="D47" s="6" t="s">
        <v>23</v>
      </c>
      <c r="E47" s="8" t="s">
        <v>58</v>
      </c>
      <c r="F47" s="8" t="s">
        <v>34</v>
      </c>
      <c r="G47" s="8" t="s">
        <v>59</v>
      </c>
      <c r="H47" s="8" t="s">
        <v>165</v>
      </c>
      <c r="I47" s="6" t="s">
        <v>231</v>
      </c>
      <c r="J47" s="8"/>
      <c r="K47" s="6"/>
      <c r="L47" s="8" t="s">
        <v>99</v>
      </c>
      <c r="M47" s="6" t="s">
        <v>64</v>
      </c>
      <c r="N47" s="6" t="str">
        <f>_xlfn.XLOOKUP(O47,'Governance Dimension_Topics'!$C$3:$C$16,'Governance Dimension_Topics'!$B$3:$B$16,"None",0)</f>
        <v>Regulatory</v>
      </c>
      <c r="O47" s="8" t="s">
        <v>157</v>
      </c>
      <c r="P47" s="6"/>
      <c r="Q47" s="6"/>
      <c r="R47" s="6"/>
      <c r="S47" s="6"/>
      <c r="T47" s="6"/>
      <c r="U47" s="6"/>
      <c r="V47" s="6"/>
      <c r="W47" s="6"/>
      <c r="X47" s="6"/>
      <c r="Y47" s="6"/>
    </row>
    <row r="48" spans="1:25" x14ac:dyDescent="0.25">
      <c r="A48" s="6" t="s">
        <v>21</v>
      </c>
      <c r="B48" s="12">
        <v>46177</v>
      </c>
      <c r="C48" s="6" t="s">
        <v>22</v>
      </c>
      <c r="D48" s="6" t="s">
        <v>23</v>
      </c>
      <c r="E48" s="8" t="s">
        <v>178</v>
      </c>
      <c r="F48" s="8" t="s">
        <v>25</v>
      </c>
      <c r="G48" s="8" t="s">
        <v>59</v>
      </c>
      <c r="H48" s="8" t="s">
        <v>165</v>
      </c>
      <c r="I48" s="8" t="s">
        <v>211</v>
      </c>
      <c r="J48" s="9"/>
      <c r="K48" s="6"/>
      <c r="L48" s="8" t="s">
        <v>99</v>
      </c>
      <c r="M48" s="6" t="s">
        <v>64</v>
      </c>
      <c r="N48" s="6" t="str">
        <f>_xlfn.XLOOKUP(O48,'Governance Dimension_Topics'!$C$3:$C$16,'Governance Dimension_Topics'!$B$3:$B$16,"None",0)</f>
        <v>Economic</v>
      </c>
      <c r="O48" s="6" t="s">
        <v>105</v>
      </c>
      <c r="P48" s="6" t="str">
        <f>_xlfn.XLOOKUP(Q48,'Governance Dimension_Topics'!$C$3:$C$16,'Governance Dimension_Topics'!$B$3:$B$16,"None",0)</f>
        <v>Economic</v>
      </c>
      <c r="Q48" s="8" t="s">
        <v>35</v>
      </c>
      <c r="R48" s="6"/>
      <c r="S48" s="6"/>
      <c r="T48" s="6"/>
      <c r="U48" s="6"/>
      <c r="V48" s="6"/>
      <c r="W48" s="6"/>
      <c r="X48" s="6"/>
      <c r="Y48" s="6"/>
    </row>
    <row r="49" spans="1:25" x14ac:dyDescent="0.25">
      <c r="A49" s="6" t="s">
        <v>21</v>
      </c>
      <c r="B49" s="12">
        <v>46177</v>
      </c>
      <c r="C49" s="6" t="s">
        <v>22</v>
      </c>
      <c r="D49" s="6" t="s">
        <v>23</v>
      </c>
      <c r="E49" s="8" t="s">
        <v>64</v>
      </c>
      <c r="F49" s="8" t="s">
        <v>55</v>
      </c>
      <c r="G49" s="8" t="s">
        <v>59</v>
      </c>
      <c r="H49" s="8" t="s">
        <v>165</v>
      </c>
      <c r="I49" s="6" t="s">
        <v>231</v>
      </c>
      <c r="J49" s="8"/>
      <c r="K49" s="8"/>
      <c r="L49" s="8" t="s">
        <v>99</v>
      </c>
      <c r="M49" s="6" t="s">
        <v>64</v>
      </c>
      <c r="N49" s="6"/>
      <c r="O49" s="8"/>
      <c r="P49" s="6"/>
      <c r="Q49" s="6"/>
      <c r="R49" s="6"/>
      <c r="S49" s="6"/>
      <c r="T49" s="6"/>
      <c r="U49" s="6"/>
      <c r="V49" s="6"/>
      <c r="W49" s="6"/>
      <c r="X49" s="8" t="s">
        <v>31</v>
      </c>
      <c r="Y49" s="8" t="s">
        <v>107</v>
      </c>
    </row>
    <row r="50" spans="1:25" x14ac:dyDescent="0.25">
      <c r="A50" s="6" t="s">
        <v>21</v>
      </c>
      <c r="B50" s="12">
        <v>46177</v>
      </c>
      <c r="C50" s="6" t="s">
        <v>22</v>
      </c>
      <c r="D50" s="6" t="s">
        <v>23</v>
      </c>
      <c r="E50" s="8" t="s">
        <v>74</v>
      </c>
      <c r="F50" s="8" t="s">
        <v>25</v>
      </c>
      <c r="G50" s="8" t="s">
        <v>59</v>
      </c>
      <c r="H50" s="8" t="s">
        <v>164</v>
      </c>
      <c r="I50" s="8" t="s">
        <v>108</v>
      </c>
      <c r="J50" s="9"/>
      <c r="K50" s="8"/>
      <c r="L50" s="8" t="s">
        <v>432</v>
      </c>
      <c r="M50" s="6" t="s">
        <v>64</v>
      </c>
      <c r="N50" s="6" t="str">
        <f>_xlfn.XLOOKUP(O50,'Governance Dimension_Topics'!$C$3:$C$16,'Governance Dimension_Topics'!$B$3:$B$16,"None",0)</f>
        <v>Economic</v>
      </c>
      <c r="O50" s="8" t="s">
        <v>35</v>
      </c>
      <c r="P50" s="6" t="str">
        <f>_xlfn.XLOOKUP(Q50,'Governance Dimension_Topics'!$C$3:$C$16,'Governance Dimension_Topics'!$B$3:$B$16,"None",0)</f>
        <v>Development</v>
      </c>
      <c r="Q50" s="6" t="s">
        <v>188</v>
      </c>
      <c r="R50" s="6" t="str">
        <f>_xlfn.XLOOKUP(S50,'Governance Dimension_Topics'!$C$3:$C$16,'Governance Dimension_Topics'!$B$3:$B$16,"None",0)</f>
        <v>Legal</v>
      </c>
      <c r="S50" s="6" t="s">
        <v>39</v>
      </c>
      <c r="T50" s="6"/>
      <c r="U50" s="6"/>
      <c r="V50" s="6"/>
      <c r="W50" s="6"/>
      <c r="X50" s="8" t="s">
        <v>31</v>
      </c>
      <c r="Y50" s="8" t="s">
        <v>109</v>
      </c>
    </row>
    <row r="51" spans="1:25" x14ac:dyDescent="0.25">
      <c r="A51" s="6" t="s">
        <v>21</v>
      </c>
      <c r="B51" s="12">
        <v>46177</v>
      </c>
      <c r="C51" s="6" t="s">
        <v>22</v>
      </c>
      <c r="D51" s="6" t="s">
        <v>23</v>
      </c>
      <c r="E51" s="8" t="s">
        <v>68</v>
      </c>
      <c r="F51" s="8" t="s">
        <v>25</v>
      </c>
      <c r="G51" s="8" t="s">
        <v>59</v>
      </c>
      <c r="H51" s="8" t="s">
        <v>164</v>
      </c>
      <c r="I51" s="8" t="s">
        <v>108</v>
      </c>
      <c r="J51" s="9"/>
      <c r="K51" s="8"/>
      <c r="L51" s="8" t="s">
        <v>432</v>
      </c>
      <c r="M51" s="6" t="s">
        <v>64</v>
      </c>
      <c r="N51" s="6" t="str">
        <f>_xlfn.XLOOKUP(O51,'Governance Dimension_Topics'!$C$3:$C$16,'Governance Dimension_Topics'!$B$3:$B$16,"None",0)</f>
        <v>Legal</v>
      </c>
      <c r="O51" s="7" t="s">
        <v>39</v>
      </c>
      <c r="P51" s="6"/>
      <c r="Q51" s="6"/>
      <c r="R51" s="6"/>
      <c r="S51" s="6"/>
      <c r="T51" s="6"/>
      <c r="U51" s="6"/>
      <c r="V51" s="6"/>
      <c r="W51" s="6"/>
      <c r="X51" s="8" t="s">
        <v>31</v>
      </c>
      <c r="Y51" s="8" t="s">
        <v>110</v>
      </c>
    </row>
    <row r="52" spans="1:25" x14ac:dyDescent="0.25">
      <c r="A52" s="6" t="s">
        <v>21</v>
      </c>
      <c r="B52" s="12">
        <v>46177</v>
      </c>
      <c r="C52" s="6" t="s">
        <v>22</v>
      </c>
      <c r="D52" s="6" t="s">
        <v>23</v>
      </c>
      <c r="E52" s="8" t="s">
        <v>76</v>
      </c>
      <c r="F52" s="8" t="s">
        <v>25</v>
      </c>
      <c r="G52" s="8" t="s">
        <v>59</v>
      </c>
      <c r="H52" s="8" t="s">
        <v>164</v>
      </c>
      <c r="I52" s="8" t="s">
        <v>108</v>
      </c>
      <c r="J52" s="9"/>
      <c r="K52" s="8"/>
      <c r="L52" s="8" t="s">
        <v>432</v>
      </c>
      <c r="M52" s="6" t="s">
        <v>64</v>
      </c>
      <c r="N52" s="6" t="str">
        <f>_xlfn.XLOOKUP(O52,'Governance Dimension_Topics'!$C$3:$C$16,'Governance Dimension_Topics'!$B$3:$B$16,"None",0)</f>
        <v>Development</v>
      </c>
      <c r="O52" s="8" t="s">
        <v>111</v>
      </c>
      <c r="P52" s="6" t="str">
        <f>_xlfn.XLOOKUP(Q52,'Governance Dimension_Topics'!$C$3:$C$16,'Governance Dimension_Topics'!$B$3:$B$16,"None",0)</f>
        <v>Regulatory</v>
      </c>
      <c r="Q52" s="7" t="s">
        <v>157</v>
      </c>
      <c r="R52" s="6" t="str">
        <f>_xlfn.XLOOKUP(S52,'Governance Dimension_Topics'!$C$3:$C$16,'Governance Dimension_Topics'!$B$3:$B$16,"None",0)</f>
        <v>Technical</v>
      </c>
      <c r="S52" s="8" t="s">
        <v>192</v>
      </c>
      <c r="T52" s="6"/>
      <c r="U52" s="6"/>
      <c r="V52" s="6"/>
      <c r="W52" s="6"/>
      <c r="X52" s="8" t="s">
        <v>31</v>
      </c>
      <c r="Y52" s="8" t="s">
        <v>112</v>
      </c>
    </row>
    <row r="53" spans="1:25" x14ac:dyDescent="0.25">
      <c r="A53" s="6" t="s">
        <v>21</v>
      </c>
      <c r="B53" s="12">
        <v>46177</v>
      </c>
      <c r="C53" s="6" t="s">
        <v>22</v>
      </c>
      <c r="D53" s="6" t="s">
        <v>23</v>
      </c>
      <c r="E53" s="8" t="s">
        <v>72</v>
      </c>
      <c r="F53" s="8" t="s">
        <v>25</v>
      </c>
      <c r="G53" s="8" t="s">
        <v>59</v>
      </c>
      <c r="H53" s="8" t="s">
        <v>164</v>
      </c>
      <c r="I53" s="8" t="s">
        <v>108</v>
      </c>
      <c r="J53" s="9"/>
      <c r="K53" s="8"/>
      <c r="L53" s="8" t="s">
        <v>432</v>
      </c>
      <c r="M53" s="6" t="s">
        <v>64</v>
      </c>
      <c r="N53" s="6" t="str">
        <f>_xlfn.XLOOKUP(O53,'Governance Dimension_Topics'!$C$3:$C$16,'Governance Dimension_Topics'!$B$3:$B$16,"None",0)</f>
        <v>Technical</v>
      </c>
      <c r="O53" s="8" t="s">
        <v>192</v>
      </c>
      <c r="P53" s="6" t="str">
        <f>_xlfn.XLOOKUP(Q53,'Governance Dimension_Topics'!$C$3:$C$16,'Governance Dimension_Topics'!$B$3:$B$16,"None",0)</f>
        <v>Legal</v>
      </c>
      <c r="Q53" s="6" t="s">
        <v>39</v>
      </c>
      <c r="R53" s="6" t="str">
        <f>_xlfn.XLOOKUP(S53,'Governance Dimension_Topics'!$C$3:$C$16,'Governance Dimension_Topics'!$B$3:$B$16,"None",0)</f>
        <v>Regulatory</v>
      </c>
      <c r="S53" s="7" t="s">
        <v>157</v>
      </c>
      <c r="T53" s="6"/>
      <c r="U53" s="6"/>
      <c r="V53" s="6"/>
      <c r="W53" s="6"/>
      <c r="X53" s="8" t="s">
        <v>31</v>
      </c>
      <c r="Y53" s="8" t="s">
        <v>113</v>
      </c>
    </row>
    <row r="54" spans="1:25" x14ac:dyDescent="0.25">
      <c r="A54" s="6" t="s">
        <v>21</v>
      </c>
      <c r="B54" s="12">
        <v>46177</v>
      </c>
      <c r="C54" s="6" t="s">
        <v>22</v>
      </c>
      <c r="D54" s="6" t="s">
        <v>23</v>
      </c>
      <c r="E54" s="8" t="s">
        <v>78</v>
      </c>
      <c r="F54" s="8" t="s">
        <v>25</v>
      </c>
      <c r="G54" s="8" t="s">
        <v>59</v>
      </c>
      <c r="H54" s="8" t="s">
        <v>164</v>
      </c>
      <c r="I54" s="8" t="s">
        <v>108</v>
      </c>
      <c r="J54" s="9"/>
      <c r="K54" s="8"/>
      <c r="L54" s="8" t="s">
        <v>432</v>
      </c>
      <c r="M54" s="6" t="s">
        <v>64</v>
      </c>
      <c r="N54" s="6" t="str">
        <f>_xlfn.XLOOKUP(O54,'Governance Dimension_Topics'!$C$3:$C$16,'Governance Dimension_Topics'!$B$3:$B$16,"None",0)</f>
        <v>Technical</v>
      </c>
      <c r="O54" s="8" t="s">
        <v>192</v>
      </c>
      <c r="P54" s="6" t="str">
        <f>_xlfn.XLOOKUP(Q54,'Governance Dimension_Topics'!$C$3:$C$16,'Governance Dimension_Topics'!$B$3:$B$16,"None",0)</f>
        <v>Economic</v>
      </c>
      <c r="Q54" s="6" t="s">
        <v>105</v>
      </c>
      <c r="R54" s="6" t="str">
        <f>_xlfn.XLOOKUP(S54,'Governance Dimension_Topics'!$C$3:$C$16,'Governance Dimension_Topics'!$B$3:$B$16,"None",0)</f>
        <v>Development</v>
      </c>
      <c r="S54" s="8" t="s">
        <v>93</v>
      </c>
      <c r="T54" s="6"/>
      <c r="U54" s="6"/>
      <c r="V54" s="6"/>
      <c r="W54" s="6"/>
      <c r="X54" s="8" t="s">
        <v>31</v>
      </c>
      <c r="Y54" s="8" t="s">
        <v>114</v>
      </c>
    </row>
    <row r="55" spans="1:25" x14ac:dyDescent="0.25">
      <c r="A55" s="6" t="s">
        <v>21</v>
      </c>
      <c r="B55" s="12">
        <v>46177</v>
      </c>
      <c r="C55" s="6" t="s">
        <v>22</v>
      </c>
      <c r="D55" s="6" t="s">
        <v>23</v>
      </c>
      <c r="E55" s="8" t="s">
        <v>24</v>
      </c>
      <c r="F55" s="8" t="s">
        <v>25</v>
      </c>
      <c r="G55" s="8" t="s">
        <v>59</v>
      </c>
      <c r="H55" s="8" t="s">
        <v>164</v>
      </c>
      <c r="I55" s="8" t="s">
        <v>108</v>
      </c>
      <c r="J55" s="9"/>
      <c r="K55" s="8"/>
      <c r="L55" s="8" t="s">
        <v>432</v>
      </c>
      <c r="M55" s="6" t="s">
        <v>64</v>
      </c>
      <c r="N55" s="6" t="str">
        <f>_xlfn.XLOOKUP(O55,'Governance Dimension_Topics'!$C$3:$C$16,'Governance Dimension_Topics'!$B$3:$B$16,"None",0)</f>
        <v>Development</v>
      </c>
      <c r="O55" s="8" t="s">
        <v>93</v>
      </c>
      <c r="P55" s="6" t="str">
        <f>_xlfn.XLOOKUP(Q55,'Governance Dimension_Topics'!$C$3:$C$16,'Governance Dimension_Topics'!$B$3:$B$16,"None",0)</f>
        <v>Legal</v>
      </c>
      <c r="Q55" s="8" t="s">
        <v>39</v>
      </c>
      <c r="R55" s="6"/>
      <c r="S55" s="6"/>
      <c r="T55" s="6"/>
      <c r="U55" s="6"/>
      <c r="V55" s="6"/>
      <c r="W55" s="6"/>
      <c r="X55" s="8"/>
      <c r="Y55" s="8"/>
    </row>
    <row r="56" spans="1:25" x14ac:dyDescent="0.25">
      <c r="A56" s="6" t="s">
        <v>21</v>
      </c>
      <c r="B56" s="12">
        <v>46177</v>
      </c>
      <c r="C56" s="6" t="s">
        <v>22</v>
      </c>
      <c r="D56" s="6" t="s">
        <v>23</v>
      </c>
      <c r="E56" s="8" t="s">
        <v>185</v>
      </c>
      <c r="F56" s="8" t="s">
        <v>25</v>
      </c>
      <c r="G56" s="8" t="s">
        <v>59</v>
      </c>
      <c r="H56" s="8" t="s">
        <v>164</v>
      </c>
      <c r="I56" s="8" t="s">
        <v>108</v>
      </c>
      <c r="J56" s="9"/>
      <c r="K56" s="8"/>
      <c r="L56" s="8" t="s">
        <v>432</v>
      </c>
      <c r="M56" s="6" t="s">
        <v>64</v>
      </c>
      <c r="N56" s="6" t="str">
        <f>_xlfn.XLOOKUP(O56,'Governance Dimension_Topics'!$C$3:$C$16,'Governance Dimension_Topics'!$B$3:$B$16,"None",0)</f>
        <v>Legal</v>
      </c>
      <c r="O56" s="6" t="s">
        <v>39</v>
      </c>
      <c r="P56" s="6" t="str">
        <f>_xlfn.XLOOKUP(Q56,'Governance Dimension_Topics'!$C$3:$C$16,'Governance Dimension_Topics'!$B$3:$B$16,"None",0)</f>
        <v>Development</v>
      </c>
      <c r="Q56" s="8" t="s">
        <v>93</v>
      </c>
      <c r="R56" s="6" t="str">
        <f>_xlfn.XLOOKUP(S56,'Governance Dimension_Topics'!$C$3:$C$16,'Governance Dimension_Topics'!$B$3:$B$16,"None",0)</f>
        <v>Development</v>
      </c>
      <c r="S56" s="6" t="s">
        <v>188</v>
      </c>
      <c r="T56" s="6"/>
      <c r="U56" s="6"/>
      <c r="V56" s="6"/>
      <c r="W56" s="6"/>
      <c r="X56" s="8"/>
      <c r="Y56" s="8"/>
    </row>
    <row r="57" spans="1:25" x14ac:dyDescent="0.25">
      <c r="A57" s="6" t="s">
        <v>21</v>
      </c>
      <c r="B57" s="12">
        <v>46177</v>
      </c>
      <c r="C57" s="6" t="s">
        <v>22</v>
      </c>
      <c r="D57" s="6" t="s">
        <v>23</v>
      </c>
      <c r="E57" s="8" t="s">
        <v>54</v>
      </c>
      <c r="F57" s="8" t="s">
        <v>25</v>
      </c>
      <c r="G57" s="8" t="s">
        <v>59</v>
      </c>
      <c r="H57" s="8" t="s">
        <v>164</v>
      </c>
      <c r="I57" s="8" t="s">
        <v>108</v>
      </c>
      <c r="J57" s="9"/>
      <c r="K57" s="8"/>
      <c r="L57" s="8" t="s">
        <v>432</v>
      </c>
      <c r="M57" s="6" t="s">
        <v>64</v>
      </c>
      <c r="N57" s="6" t="str">
        <f>_xlfn.XLOOKUP(O57,'Governance Dimension_Topics'!$C$3:$C$16,'Governance Dimension_Topics'!$B$3:$B$16,"None",0)</f>
        <v>Economic</v>
      </c>
      <c r="O57" s="7" t="s">
        <v>35</v>
      </c>
      <c r="P57" s="6"/>
      <c r="Q57" s="8"/>
      <c r="R57" s="6"/>
      <c r="S57" s="6"/>
      <c r="T57" s="6"/>
      <c r="U57" s="6"/>
      <c r="V57" s="6"/>
      <c r="W57" s="6"/>
      <c r="X57" s="8"/>
      <c r="Y57" s="8"/>
    </row>
    <row r="58" spans="1:25" x14ac:dyDescent="0.25">
      <c r="A58" s="6" t="s">
        <v>21</v>
      </c>
      <c r="B58" s="12">
        <v>46177</v>
      </c>
      <c r="C58" s="6" t="s">
        <v>22</v>
      </c>
      <c r="D58" s="6" t="s">
        <v>23</v>
      </c>
      <c r="E58" s="8" t="s">
        <v>184</v>
      </c>
      <c r="F58" s="8" t="s">
        <v>25</v>
      </c>
      <c r="G58" s="8" t="s">
        <v>59</v>
      </c>
      <c r="H58" s="8" t="s">
        <v>164</v>
      </c>
      <c r="I58" s="8" t="s">
        <v>108</v>
      </c>
      <c r="J58" s="9"/>
      <c r="K58" s="8"/>
      <c r="L58" s="8" t="s">
        <v>432</v>
      </c>
      <c r="M58" s="6" t="s">
        <v>64</v>
      </c>
      <c r="N58" s="6" t="str">
        <f>_xlfn.XLOOKUP(O58,'Governance Dimension_Topics'!$C$3:$C$16,'Governance Dimension_Topics'!$B$3:$B$16,"None",0)</f>
        <v>Economic</v>
      </c>
      <c r="O58" s="7" t="s">
        <v>35</v>
      </c>
      <c r="P58" s="6" t="str">
        <f>_xlfn.XLOOKUP(Q58,'Governance Dimension_Topics'!$C$3:$C$16,'Governance Dimension_Topics'!$B$3:$B$16,"None",0)</f>
        <v>Economic</v>
      </c>
      <c r="Q58" s="6" t="s">
        <v>105</v>
      </c>
      <c r="R58" s="6"/>
      <c r="S58" s="6"/>
      <c r="T58" s="6"/>
      <c r="U58" s="6"/>
      <c r="V58" s="6"/>
      <c r="W58" s="6"/>
      <c r="X58" s="8"/>
      <c r="Y58" s="8"/>
    </row>
    <row r="59" spans="1:25" x14ac:dyDescent="0.25">
      <c r="A59" s="6" t="s">
        <v>21</v>
      </c>
      <c r="B59" s="12">
        <v>46177</v>
      </c>
      <c r="C59" s="6" t="s">
        <v>22</v>
      </c>
      <c r="D59" s="6" t="s">
        <v>23</v>
      </c>
      <c r="E59" s="8" t="s">
        <v>82</v>
      </c>
      <c r="F59" s="8" t="s">
        <v>25</v>
      </c>
      <c r="G59" s="8" t="s">
        <v>59</v>
      </c>
      <c r="H59" s="8" t="s">
        <v>164</v>
      </c>
      <c r="I59" s="8" t="s">
        <v>108</v>
      </c>
      <c r="J59" s="9"/>
      <c r="K59" s="8"/>
      <c r="L59" s="8" t="s">
        <v>432</v>
      </c>
      <c r="M59" s="6" t="s">
        <v>64</v>
      </c>
      <c r="N59" s="6" t="str">
        <f>_xlfn.XLOOKUP(O59,'Governance Dimension_Topics'!$C$3:$C$16,'Governance Dimension_Topics'!$B$3:$B$16,"None",0)</f>
        <v>Economic</v>
      </c>
      <c r="O59" s="6" t="s">
        <v>105</v>
      </c>
      <c r="P59" s="6" t="str">
        <f>_xlfn.XLOOKUP(Q59,'Governance Dimension_Topics'!$C$3:$C$16,'Governance Dimension_Topics'!$B$3:$B$16,"None",0)</f>
        <v>Technical</v>
      </c>
      <c r="Q59" s="8" t="s">
        <v>192</v>
      </c>
      <c r="R59" s="6"/>
      <c r="S59" s="6"/>
      <c r="T59" s="6"/>
      <c r="U59" s="6"/>
      <c r="V59" s="6"/>
      <c r="W59" s="6"/>
      <c r="X59" s="8"/>
      <c r="Y59" s="8"/>
    </row>
    <row r="60" spans="1:25" x14ac:dyDescent="0.25">
      <c r="A60" s="6" t="s">
        <v>21</v>
      </c>
      <c r="B60" s="12">
        <v>46177</v>
      </c>
      <c r="C60" s="6" t="s">
        <v>22</v>
      </c>
      <c r="D60" s="6" t="s">
        <v>23</v>
      </c>
      <c r="E60" s="8" t="s">
        <v>123</v>
      </c>
      <c r="F60" s="8" t="s">
        <v>25</v>
      </c>
      <c r="G60" s="8" t="s">
        <v>59</v>
      </c>
      <c r="H60" s="8" t="s">
        <v>164</v>
      </c>
      <c r="I60" s="8" t="s">
        <v>108</v>
      </c>
      <c r="J60" s="9"/>
      <c r="K60" s="8"/>
      <c r="L60" s="8" t="s">
        <v>432</v>
      </c>
      <c r="M60" s="6" t="s">
        <v>64</v>
      </c>
      <c r="N60" s="6" t="str">
        <f>_xlfn.XLOOKUP(O60,'Governance Dimension_Topics'!$C$3:$C$16,'Governance Dimension_Topics'!$B$3:$B$16,"None",0)</f>
        <v>Legal</v>
      </c>
      <c r="O60" s="6" t="s">
        <v>39</v>
      </c>
      <c r="P60" s="6" t="str">
        <f>_xlfn.XLOOKUP(Q60,'Governance Dimension_Topics'!$C$3:$C$16,'Governance Dimension_Topics'!$B$3:$B$16,"None",0)</f>
        <v>Economic</v>
      </c>
      <c r="Q60" s="6" t="s">
        <v>105</v>
      </c>
      <c r="R60" s="6"/>
      <c r="S60" s="6"/>
      <c r="T60" s="6"/>
      <c r="U60" s="6"/>
      <c r="V60" s="6"/>
      <c r="W60" s="6"/>
      <c r="X60" s="8"/>
      <c r="Y60" s="8"/>
    </row>
    <row r="61" spans="1:25" x14ac:dyDescent="0.25">
      <c r="A61" s="6" t="s">
        <v>21</v>
      </c>
      <c r="B61" s="12">
        <v>46177</v>
      </c>
      <c r="C61" s="6" t="s">
        <v>22</v>
      </c>
      <c r="D61" s="6" t="s">
        <v>23</v>
      </c>
      <c r="E61" s="8" t="s">
        <v>70</v>
      </c>
      <c r="F61" s="8" t="s">
        <v>25</v>
      </c>
      <c r="G61" s="8" t="s">
        <v>59</v>
      </c>
      <c r="H61" s="8" t="s">
        <v>164</v>
      </c>
      <c r="I61" s="8" t="s">
        <v>108</v>
      </c>
      <c r="J61" s="9"/>
      <c r="K61" s="8"/>
      <c r="L61" s="8" t="s">
        <v>432</v>
      </c>
      <c r="M61" s="6" t="s">
        <v>64</v>
      </c>
      <c r="N61" s="6" t="str">
        <f>_xlfn.XLOOKUP(O61,'Governance Dimension_Topics'!$C$3:$C$16,'Governance Dimension_Topics'!$B$3:$B$16,"None",0)</f>
        <v>Economic</v>
      </c>
      <c r="O61" s="8" t="s">
        <v>35</v>
      </c>
      <c r="P61" s="6" t="str">
        <f>_xlfn.XLOOKUP(Q61,'Governance Dimension_Topics'!$C$3:$C$16,'Governance Dimension_Topics'!$B$3:$B$16,"None",0)</f>
        <v>Economic</v>
      </c>
      <c r="Q61" s="6" t="s">
        <v>105</v>
      </c>
      <c r="R61" s="6"/>
      <c r="S61" s="6"/>
      <c r="T61" s="6"/>
      <c r="U61" s="6"/>
      <c r="V61" s="6"/>
      <c r="W61" s="6"/>
      <c r="X61" s="8"/>
      <c r="Y61" s="8"/>
    </row>
    <row r="62" spans="1:25" x14ac:dyDescent="0.25">
      <c r="A62" s="6" t="s">
        <v>21</v>
      </c>
      <c r="B62" s="12">
        <v>46177</v>
      </c>
      <c r="C62" s="6" t="s">
        <v>22</v>
      </c>
      <c r="D62" s="6" t="s">
        <v>23</v>
      </c>
      <c r="E62" s="8" t="s">
        <v>64</v>
      </c>
      <c r="F62" s="8" t="s">
        <v>55</v>
      </c>
      <c r="G62" s="8" t="s">
        <v>59</v>
      </c>
      <c r="H62" s="8" t="s">
        <v>164</v>
      </c>
      <c r="I62" s="8" t="s">
        <v>108</v>
      </c>
      <c r="J62" s="9"/>
      <c r="K62" s="8"/>
      <c r="L62" s="8" t="s">
        <v>432</v>
      </c>
      <c r="M62" s="6" t="s">
        <v>64</v>
      </c>
      <c r="N62" s="6"/>
      <c r="O62" s="8"/>
      <c r="P62" s="6"/>
      <c r="Q62" s="8"/>
      <c r="R62" s="6"/>
      <c r="S62" s="6"/>
      <c r="T62" s="6"/>
      <c r="U62" s="6"/>
      <c r="V62" s="6"/>
      <c r="W62" s="6"/>
      <c r="X62" s="8"/>
      <c r="Y62" s="8"/>
    </row>
    <row r="63" spans="1:25" x14ac:dyDescent="0.25">
      <c r="A63" s="6" t="s">
        <v>21</v>
      </c>
      <c r="B63" s="12">
        <v>46177</v>
      </c>
      <c r="C63" s="6" t="s">
        <v>22</v>
      </c>
      <c r="D63" s="6" t="s">
        <v>23</v>
      </c>
      <c r="E63" s="8" t="s">
        <v>45</v>
      </c>
      <c r="F63" s="8" t="s">
        <v>25</v>
      </c>
      <c r="G63" s="8" t="s">
        <v>59</v>
      </c>
      <c r="H63" s="8" t="s">
        <v>164</v>
      </c>
      <c r="I63" s="8" t="s">
        <v>108</v>
      </c>
      <c r="J63" s="9"/>
      <c r="K63" s="8"/>
      <c r="L63" s="8" t="s">
        <v>432</v>
      </c>
      <c r="M63" s="6" t="s">
        <v>64</v>
      </c>
      <c r="N63" s="6" t="str">
        <f>_xlfn.XLOOKUP(O63,'Governance Dimension_Topics'!$C$3:$C$16,'Governance Dimension_Topics'!$B$3:$B$16,"None",0)</f>
        <v>Regulatory</v>
      </c>
      <c r="O63" s="8" t="s">
        <v>157</v>
      </c>
      <c r="P63" s="6" t="str">
        <f>_xlfn.XLOOKUP(Q63,'Governance Dimension_Topics'!$C$3:$C$16,'Governance Dimension_Topics'!$B$3:$B$16,"None",0)</f>
        <v>Legal</v>
      </c>
      <c r="Q63" s="8" t="s">
        <v>39</v>
      </c>
      <c r="R63" s="6" t="str">
        <f>_xlfn.XLOOKUP(S63,'Governance Dimension_Topics'!$C$3:$C$16,'Governance Dimension_Topics'!$B$3:$B$16,"None",0)</f>
        <v>Legal</v>
      </c>
      <c r="S63" s="6" t="s">
        <v>39</v>
      </c>
      <c r="T63" s="6"/>
      <c r="U63" s="6"/>
      <c r="V63" s="6"/>
      <c r="W63" s="6"/>
      <c r="X63" s="8" t="s">
        <v>31</v>
      </c>
      <c r="Y63" s="8" t="s">
        <v>115</v>
      </c>
    </row>
    <row r="64" spans="1:25" x14ac:dyDescent="0.25">
      <c r="A64" s="6" t="s">
        <v>21</v>
      </c>
      <c r="B64" s="12">
        <v>46177</v>
      </c>
      <c r="C64" s="6" t="s">
        <v>22</v>
      </c>
      <c r="D64" s="6" t="s">
        <v>23</v>
      </c>
      <c r="E64" s="8" t="s">
        <v>104</v>
      </c>
      <c r="F64" s="8" t="s">
        <v>25</v>
      </c>
      <c r="G64" s="8" t="s">
        <v>59</v>
      </c>
      <c r="H64" s="8" t="s">
        <v>164</v>
      </c>
      <c r="I64" s="8" t="s">
        <v>108</v>
      </c>
      <c r="J64" s="9"/>
      <c r="K64" s="8"/>
      <c r="L64" s="8" t="s">
        <v>432</v>
      </c>
      <c r="M64" s="6" t="s">
        <v>64</v>
      </c>
      <c r="N64" s="6" t="s">
        <v>28</v>
      </c>
      <c r="O64" s="8" t="s">
        <v>111</v>
      </c>
      <c r="P64" s="6"/>
      <c r="Q64" s="6"/>
      <c r="R64" s="6"/>
      <c r="S64" s="6"/>
      <c r="T64" s="6"/>
      <c r="U64" s="6"/>
      <c r="V64" s="6"/>
      <c r="W64" s="6"/>
      <c r="X64" s="8" t="s">
        <v>48</v>
      </c>
      <c r="Y64" s="8" t="s">
        <v>116</v>
      </c>
    </row>
    <row r="65" spans="1:25" x14ac:dyDescent="0.25">
      <c r="A65" s="6" t="s">
        <v>21</v>
      </c>
      <c r="B65" s="12">
        <v>46177</v>
      </c>
      <c r="C65" s="6" t="s">
        <v>22</v>
      </c>
      <c r="D65" s="6" t="s">
        <v>23</v>
      </c>
      <c r="E65" s="8" t="s">
        <v>64</v>
      </c>
      <c r="F65" s="8" t="s">
        <v>55</v>
      </c>
      <c r="G65" s="8" t="s">
        <v>59</v>
      </c>
      <c r="H65" s="8" t="s">
        <v>164</v>
      </c>
      <c r="I65" s="8" t="s">
        <v>108</v>
      </c>
      <c r="J65" s="9"/>
      <c r="K65" s="8"/>
      <c r="L65" s="8" t="s">
        <v>432</v>
      </c>
      <c r="M65" s="6" t="s">
        <v>64</v>
      </c>
      <c r="N65" s="6"/>
      <c r="O65" s="8"/>
      <c r="P65" s="6"/>
      <c r="Q65" s="6"/>
      <c r="R65" s="6"/>
      <c r="S65" s="6"/>
      <c r="T65" s="6"/>
      <c r="U65" s="6"/>
      <c r="V65" s="6"/>
      <c r="W65" s="6"/>
      <c r="X65" s="8" t="s">
        <v>31</v>
      </c>
      <c r="Y65" s="8" t="s">
        <v>117</v>
      </c>
    </row>
    <row r="66" spans="1:25" x14ac:dyDescent="0.25">
      <c r="A66" s="6" t="s">
        <v>21</v>
      </c>
      <c r="B66" s="12">
        <v>46177</v>
      </c>
      <c r="C66" s="6" t="s">
        <v>22</v>
      </c>
      <c r="D66" s="6" t="s">
        <v>23</v>
      </c>
      <c r="E66" s="6" t="s">
        <v>33</v>
      </c>
      <c r="F66" s="6" t="s">
        <v>25</v>
      </c>
      <c r="G66" s="6" t="s">
        <v>26</v>
      </c>
      <c r="H66" s="8" t="s">
        <v>168</v>
      </c>
      <c r="I66" s="6" t="s">
        <v>174</v>
      </c>
      <c r="J66" s="6" t="s">
        <v>174</v>
      </c>
      <c r="K66" s="6"/>
      <c r="L66" s="8" t="s">
        <v>170</v>
      </c>
      <c r="M66" s="8" t="s">
        <v>54</v>
      </c>
      <c r="N66" s="6" t="str">
        <f>_xlfn.XLOOKUP(O66,'Governance Dimension_Topics'!$C$3:$C$16,'Governance Dimension_Topics'!$B$3:$B$16,"None",0)</f>
        <v>Political Economy</v>
      </c>
      <c r="O66" s="6" t="s">
        <v>29</v>
      </c>
      <c r="P66" s="6" t="str">
        <f>_xlfn.XLOOKUP(Q66,'Governance Dimension_Topics'!$C$3:$C$16,'Governance Dimension_Topics'!$B$3:$B$16,"None",0)</f>
        <v>Legal</v>
      </c>
      <c r="Q66" s="6" t="s">
        <v>39</v>
      </c>
      <c r="R66" s="6" t="str">
        <f>_xlfn.XLOOKUP(S66,'Governance Dimension_Topics'!$C$3:$C$16,'Governance Dimension_Topics'!$B$3:$B$16,"None",0)</f>
        <v>Economic</v>
      </c>
      <c r="S66" s="7" t="s">
        <v>35</v>
      </c>
      <c r="T66" s="6"/>
      <c r="U66" s="6"/>
      <c r="V66" s="6"/>
      <c r="W66" s="6"/>
      <c r="X66" s="6" t="s">
        <v>31</v>
      </c>
      <c r="Y66" s="6" t="s">
        <v>118</v>
      </c>
    </row>
    <row r="67" spans="1:25" x14ac:dyDescent="0.25">
      <c r="A67" s="6" t="s">
        <v>21</v>
      </c>
      <c r="B67" s="12">
        <v>46177</v>
      </c>
      <c r="C67" s="6" t="s">
        <v>22</v>
      </c>
      <c r="D67" s="6" t="s">
        <v>23</v>
      </c>
      <c r="E67" s="6" t="s">
        <v>119</v>
      </c>
      <c r="F67" s="6" t="s">
        <v>25</v>
      </c>
      <c r="G67" s="6" t="s">
        <v>26</v>
      </c>
      <c r="H67" s="8" t="s">
        <v>168</v>
      </c>
      <c r="I67" s="6" t="s">
        <v>174</v>
      </c>
      <c r="J67" s="6" t="s">
        <v>174</v>
      </c>
      <c r="K67" s="6"/>
      <c r="L67" s="8" t="s">
        <v>170</v>
      </c>
      <c r="M67" s="8" t="s">
        <v>54</v>
      </c>
      <c r="N67" s="6" t="str">
        <f>_xlfn.XLOOKUP(O67,'Governance Dimension_Topics'!$C$3:$C$16,'Governance Dimension_Topics'!$B$3:$B$16,"None",0)</f>
        <v>Development</v>
      </c>
      <c r="O67" s="6" t="s">
        <v>188</v>
      </c>
      <c r="P67" s="6"/>
      <c r="Q67" s="6"/>
      <c r="R67" s="6"/>
      <c r="S67" s="6"/>
      <c r="T67" s="6"/>
      <c r="U67" s="6"/>
      <c r="V67" s="6"/>
      <c r="W67" s="6"/>
      <c r="X67" s="6" t="s">
        <v>31</v>
      </c>
      <c r="Y67" s="6" t="s">
        <v>120</v>
      </c>
    </row>
    <row r="68" spans="1:25" x14ac:dyDescent="0.25">
      <c r="A68" s="6" t="s">
        <v>21</v>
      </c>
      <c r="B68" s="12">
        <v>46177</v>
      </c>
      <c r="C68" s="6" t="s">
        <v>22</v>
      </c>
      <c r="D68" s="6" t="s">
        <v>23</v>
      </c>
      <c r="E68" s="6" t="s">
        <v>86</v>
      </c>
      <c r="F68" s="6" t="s">
        <v>25</v>
      </c>
      <c r="G68" s="6" t="s">
        <v>26</v>
      </c>
      <c r="H68" s="6" t="s">
        <v>167</v>
      </c>
      <c r="I68" s="6" t="s">
        <v>162</v>
      </c>
      <c r="J68" s="6"/>
      <c r="K68" s="6"/>
      <c r="L68" s="6" t="s">
        <v>433</v>
      </c>
      <c r="M68" s="6" t="s">
        <v>72</v>
      </c>
      <c r="N68" s="6" t="s">
        <v>27</v>
      </c>
      <c r="O68" s="6" t="s">
        <v>35</v>
      </c>
      <c r="P68" s="6"/>
      <c r="Q68" s="6"/>
      <c r="R68" s="6"/>
      <c r="S68" s="6"/>
      <c r="T68" s="6"/>
      <c r="U68" s="6"/>
      <c r="V68" s="6"/>
      <c r="W68" s="6"/>
      <c r="X68" s="6" t="s">
        <v>48</v>
      </c>
      <c r="Y68" s="6" t="s">
        <v>121</v>
      </c>
    </row>
    <row r="69" spans="1:25" x14ac:dyDescent="0.25">
      <c r="A69" s="6" t="s">
        <v>21</v>
      </c>
      <c r="B69" s="12">
        <v>46177</v>
      </c>
      <c r="C69" s="6" t="s">
        <v>22</v>
      </c>
      <c r="D69" s="6" t="s">
        <v>23</v>
      </c>
      <c r="E69" s="6" t="s">
        <v>58</v>
      </c>
      <c r="F69" s="6" t="s">
        <v>25</v>
      </c>
      <c r="G69" s="6" t="s">
        <v>26</v>
      </c>
      <c r="H69" s="6" t="s">
        <v>167</v>
      </c>
      <c r="I69" s="6" t="s">
        <v>162</v>
      </c>
      <c r="J69" s="6"/>
      <c r="K69" s="6"/>
      <c r="L69" s="6" t="s">
        <v>433</v>
      </c>
      <c r="M69" s="6" t="s">
        <v>72</v>
      </c>
      <c r="N69" s="6" t="str">
        <f>_xlfn.XLOOKUP(O69,'Governance Dimension_Topics'!$C$3:$C$16,'Governance Dimension_Topics'!$B$3:$B$16,"None",0)</f>
        <v>Legal</v>
      </c>
      <c r="O69" s="7" t="s">
        <v>94</v>
      </c>
      <c r="P69" s="6" t="str">
        <f>_xlfn.XLOOKUP(Q69,'Governance Dimension_Topics'!$C$3:$C$16,'Governance Dimension_Topics'!$B$3:$B$16,"None",0)</f>
        <v>Economic</v>
      </c>
      <c r="Q69" s="6" t="s">
        <v>35</v>
      </c>
      <c r="R69" s="6"/>
      <c r="S69" s="6"/>
      <c r="T69" s="6"/>
      <c r="U69" s="6"/>
      <c r="V69" s="6"/>
      <c r="W69" s="6"/>
      <c r="X69" s="6" t="s">
        <v>48</v>
      </c>
      <c r="Y69" s="6" t="s">
        <v>122</v>
      </c>
    </row>
    <row r="70" spans="1:25" x14ac:dyDescent="0.25">
      <c r="A70" s="6" t="s">
        <v>21</v>
      </c>
      <c r="B70" s="12">
        <v>46177</v>
      </c>
      <c r="C70" s="6" t="s">
        <v>22</v>
      </c>
      <c r="D70" s="6" t="s">
        <v>23</v>
      </c>
      <c r="E70" s="6" t="s">
        <v>123</v>
      </c>
      <c r="F70" s="6" t="s">
        <v>25</v>
      </c>
      <c r="G70" s="6" t="s">
        <v>26</v>
      </c>
      <c r="H70" s="6" t="s">
        <v>167</v>
      </c>
      <c r="I70" s="6" t="s">
        <v>162</v>
      </c>
      <c r="J70" s="6"/>
      <c r="K70" s="6"/>
      <c r="L70" s="6" t="s">
        <v>433</v>
      </c>
      <c r="M70" s="6" t="s">
        <v>72</v>
      </c>
      <c r="N70" s="6" t="s">
        <v>27</v>
      </c>
      <c r="O70" s="6" t="s">
        <v>35</v>
      </c>
      <c r="P70" s="6" t="str">
        <f>_xlfn.XLOOKUP(Q70,'Governance Dimension_Topics'!$C$3:$C$16,'Governance Dimension_Topics'!$B$3:$B$16,"None",0)</f>
        <v>Legal</v>
      </c>
      <c r="Q70" s="7" t="s">
        <v>94</v>
      </c>
      <c r="R70" s="6"/>
      <c r="S70" s="6"/>
      <c r="T70" s="6"/>
      <c r="U70" s="6"/>
      <c r="V70" s="6"/>
      <c r="W70" s="6"/>
      <c r="X70" s="6" t="s">
        <v>48</v>
      </c>
      <c r="Y70" s="6" t="s">
        <v>124</v>
      </c>
    </row>
    <row r="71" spans="1:25" x14ac:dyDescent="0.25">
      <c r="A71" s="6" t="s">
        <v>21</v>
      </c>
      <c r="B71" s="12">
        <v>46177</v>
      </c>
      <c r="C71" s="6" t="s">
        <v>22</v>
      </c>
      <c r="D71" s="6" t="s">
        <v>23</v>
      </c>
      <c r="E71" s="6" t="s">
        <v>125</v>
      </c>
      <c r="F71" s="6" t="s">
        <v>25</v>
      </c>
      <c r="G71" s="6" t="s">
        <v>26</v>
      </c>
      <c r="H71" s="6" t="s">
        <v>167</v>
      </c>
      <c r="I71" s="6" t="s">
        <v>162</v>
      </c>
      <c r="J71" s="6"/>
      <c r="K71" s="6"/>
      <c r="L71" s="6" t="s">
        <v>433</v>
      </c>
      <c r="M71" s="6" t="s">
        <v>72</v>
      </c>
      <c r="N71" s="6" t="str">
        <f>_xlfn.XLOOKUP(O71,'Governance Dimension_Topics'!$C$3:$C$16,'Governance Dimension_Topics'!$B$3:$B$16,"None",0)</f>
        <v>Economic</v>
      </c>
      <c r="O71" s="6" t="s">
        <v>35</v>
      </c>
      <c r="P71" s="6" t="str">
        <f>_xlfn.XLOOKUP(Q71,'Governance Dimension_Topics'!$C$3:$C$16,'Governance Dimension_Topics'!$B$3:$B$16,"None",0)</f>
        <v>Legal</v>
      </c>
      <c r="Q71" s="7" t="s">
        <v>94</v>
      </c>
      <c r="R71" s="6"/>
      <c r="S71" s="6"/>
      <c r="T71" s="6"/>
      <c r="U71" s="6"/>
      <c r="V71" s="6"/>
      <c r="W71" s="6"/>
      <c r="X71" s="6" t="s">
        <v>48</v>
      </c>
      <c r="Y71" s="6" t="s">
        <v>126</v>
      </c>
    </row>
    <row r="72" spans="1:25" x14ac:dyDescent="0.25">
      <c r="A72" s="6" t="s">
        <v>21</v>
      </c>
      <c r="B72" s="12">
        <v>46177</v>
      </c>
      <c r="C72" s="6" t="s">
        <v>22</v>
      </c>
      <c r="D72" s="6" t="s">
        <v>23</v>
      </c>
      <c r="E72" s="6" t="s">
        <v>24</v>
      </c>
      <c r="F72" s="6" t="s">
        <v>25</v>
      </c>
      <c r="G72" s="6" t="s">
        <v>26</v>
      </c>
      <c r="H72" s="6" t="s">
        <v>167</v>
      </c>
      <c r="I72" s="6" t="s">
        <v>162</v>
      </c>
      <c r="J72" s="6"/>
      <c r="K72" s="6"/>
      <c r="L72" s="6" t="s">
        <v>433</v>
      </c>
      <c r="M72" s="6" t="s">
        <v>72</v>
      </c>
      <c r="N72" s="6" t="str">
        <f>_xlfn.XLOOKUP(O72,'Governance Dimension_Topics'!$C$3:$C$16,'Governance Dimension_Topics'!$B$3:$B$16,"None",0)</f>
        <v>Economic</v>
      </c>
      <c r="O72" s="6" t="s">
        <v>35</v>
      </c>
      <c r="P72" s="6"/>
      <c r="Q72" s="7"/>
      <c r="R72" s="6"/>
      <c r="S72" s="6"/>
      <c r="T72" s="6"/>
      <c r="U72" s="6"/>
      <c r="V72" s="6"/>
      <c r="W72" s="6"/>
      <c r="X72" s="6"/>
      <c r="Y72" s="6"/>
    </row>
    <row r="73" spans="1:25" x14ac:dyDescent="0.25">
      <c r="A73" s="6" t="s">
        <v>21</v>
      </c>
      <c r="B73" s="12">
        <v>46177</v>
      </c>
      <c r="C73" s="6" t="s">
        <v>22</v>
      </c>
      <c r="D73" s="6" t="s">
        <v>23</v>
      </c>
      <c r="E73" s="6" t="s">
        <v>178</v>
      </c>
      <c r="F73" s="6" t="s">
        <v>25</v>
      </c>
      <c r="G73" s="6" t="s">
        <v>26</v>
      </c>
      <c r="H73" s="6" t="s">
        <v>167</v>
      </c>
      <c r="I73" s="6" t="s">
        <v>162</v>
      </c>
      <c r="J73" s="6"/>
      <c r="K73" s="6"/>
      <c r="L73" s="6" t="s">
        <v>433</v>
      </c>
      <c r="M73" s="6" t="s">
        <v>72</v>
      </c>
      <c r="N73" s="6" t="str">
        <f>_xlfn.XLOOKUP(O73,'Governance Dimension_Topics'!$C$3:$C$16,'Governance Dimension_Topics'!$B$3:$B$16,"None",0)</f>
        <v>Economic</v>
      </c>
      <c r="O73" s="6" t="s">
        <v>35</v>
      </c>
      <c r="P73" s="6" t="str">
        <f>_xlfn.XLOOKUP(Q73,'Governance Dimension_Topics'!$C$3:$C$16,'Governance Dimension_Topics'!$B$3:$B$16,"None",0)</f>
        <v>Legal</v>
      </c>
      <c r="Q73" s="7" t="s">
        <v>39</v>
      </c>
      <c r="R73" s="6"/>
      <c r="S73" s="6"/>
      <c r="T73" s="6"/>
      <c r="U73" s="6"/>
      <c r="V73" s="6"/>
      <c r="W73" s="6"/>
      <c r="X73" s="6"/>
      <c r="Y73" s="6"/>
    </row>
    <row r="74" spans="1:25" x14ac:dyDescent="0.25">
      <c r="A74" s="6" t="s">
        <v>21</v>
      </c>
      <c r="B74" s="12">
        <v>46177</v>
      </c>
      <c r="C74" s="6" t="s">
        <v>22</v>
      </c>
      <c r="D74" s="6" t="s">
        <v>23</v>
      </c>
      <c r="E74" s="6" t="s">
        <v>72</v>
      </c>
      <c r="F74" s="6" t="s">
        <v>55</v>
      </c>
      <c r="G74" s="6" t="s">
        <v>26</v>
      </c>
      <c r="H74" s="6" t="s">
        <v>167</v>
      </c>
      <c r="I74" s="6" t="s">
        <v>162</v>
      </c>
      <c r="J74" s="6"/>
      <c r="K74" s="6"/>
      <c r="L74" s="6" t="s">
        <v>433</v>
      </c>
      <c r="M74" s="6" t="s">
        <v>72</v>
      </c>
      <c r="N74" s="6"/>
      <c r="O74" s="6"/>
      <c r="P74" s="6"/>
      <c r="Q74" s="6"/>
      <c r="R74" s="6"/>
      <c r="S74" s="6"/>
      <c r="T74" s="6"/>
      <c r="U74" s="6"/>
      <c r="V74" s="6"/>
      <c r="W74" s="6"/>
      <c r="X74" s="6" t="s">
        <v>48</v>
      </c>
      <c r="Y74" s="6" t="s">
        <v>127</v>
      </c>
    </row>
    <row r="75" spans="1:25" x14ac:dyDescent="0.25">
      <c r="A75" s="6" t="s">
        <v>21</v>
      </c>
      <c r="B75" s="12">
        <v>46177</v>
      </c>
      <c r="C75" s="6" t="s">
        <v>22</v>
      </c>
      <c r="D75" s="6" t="s">
        <v>23</v>
      </c>
      <c r="E75" s="6" t="s">
        <v>45</v>
      </c>
      <c r="F75" s="6" t="s">
        <v>25</v>
      </c>
      <c r="G75" s="6" t="s">
        <v>26</v>
      </c>
      <c r="H75" s="6" t="s">
        <v>169</v>
      </c>
      <c r="I75" s="6" t="s">
        <v>174</v>
      </c>
      <c r="J75" s="6"/>
      <c r="K75" s="6"/>
      <c r="L75" s="6" t="s">
        <v>434</v>
      </c>
      <c r="M75" s="6" t="s">
        <v>180</v>
      </c>
      <c r="N75" s="6" t="str">
        <f>_xlfn.XLOOKUP(O75,'Governance Dimension_Topics'!$C$3:$C$16,'Governance Dimension_Topics'!$B$3:$B$16,"None",0)</f>
        <v>Political Economy</v>
      </c>
      <c r="O75" s="6" t="s">
        <v>29</v>
      </c>
      <c r="P75" s="6" t="str">
        <f>_xlfn.XLOOKUP(Q75,'Governance Dimension_Topics'!$C$3:$C$16,'Governance Dimension_Topics'!$B$3:$B$16,"None",0)</f>
        <v>Legal</v>
      </c>
      <c r="Q75" s="7" t="s">
        <v>39</v>
      </c>
      <c r="R75" s="6" t="str">
        <f>_xlfn.XLOOKUP(S75,'Governance Dimension_Topics'!$C$3:$C$16,'Governance Dimension_Topics'!$B$3:$B$16,"None",0)</f>
        <v>Economic</v>
      </c>
      <c r="S75" s="6" t="s">
        <v>35</v>
      </c>
      <c r="T75" s="6"/>
      <c r="U75" s="6"/>
      <c r="V75" s="6"/>
      <c r="W75" s="6"/>
      <c r="X75" s="6" t="s">
        <v>31</v>
      </c>
      <c r="Y75" s="6" t="s">
        <v>128</v>
      </c>
    </row>
    <row r="76" spans="1:25" x14ac:dyDescent="0.25">
      <c r="A76" s="6" t="s">
        <v>21</v>
      </c>
      <c r="B76" s="12">
        <v>46177</v>
      </c>
      <c r="C76" s="6" t="s">
        <v>22</v>
      </c>
      <c r="D76" s="6" t="s">
        <v>23</v>
      </c>
      <c r="E76" s="6" t="s">
        <v>64</v>
      </c>
      <c r="F76" s="6" t="s">
        <v>55</v>
      </c>
      <c r="G76" s="6" t="s">
        <v>26</v>
      </c>
      <c r="H76" s="6" t="s">
        <v>169</v>
      </c>
      <c r="I76" s="6" t="s">
        <v>174</v>
      </c>
      <c r="J76" s="6"/>
      <c r="K76" s="6"/>
      <c r="L76" s="6" t="s">
        <v>434</v>
      </c>
      <c r="M76" s="6" t="s">
        <v>64</v>
      </c>
      <c r="N76" s="6"/>
      <c r="O76" s="6"/>
      <c r="P76" s="6"/>
      <c r="Q76" s="6"/>
      <c r="R76" s="6"/>
      <c r="S76" s="6"/>
      <c r="T76" s="6"/>
      <c r="U76" s="6"/>
      <c r="V76" s="6"/>
      <c r="W76" s="6"/>
      <c r="X76" s="6" t="s">
        <v>31</v>
      </c>
      <c r="Y76" s="6" t="s">
        <v>129</v>
      </c>
    </row>
    <row r="77" spans="1:25" x14ac:dyDescent="0.25">
      <c r="A77" s="6" t="s">
        <v>21</v>
      </c>
      <c r="B77" s="12">
        <v>46177</v>
      </c>
      <c r="C77" s="6" t="s">
        <v>22</v>
      </c>
      <c r="D77" s="6" t="s">
        <v>23</v>
      </c>
      <c r="E77" s="6" t="s">
        <v>179</v>
      </c>
      <c r="F77" s="6" t="s">
        <v>55</v>
      </c>
      <c r="G77" s="6" t="s">
        <v>26</v>
      </c>
      <c r="H77" s="6" t="s">
        <v>169</v>
      </c>
      <c r="I77" s="6" t="s">
        <v>174</v>
      </c>
      <c r="J77" s="6"/>
      <c r="K77" s="6"/>
      <c r="L77" s="6" t="s">
        <v>434</v>
      </c>
      <c r="M77" s="6" t="s">
        <v>64</v>
      </c>
      <c r="N77" s="6"/>
      <c r="O77" s="6"/>
      <c r="P77" s="6"/>
      <c r="Q77" s="6"/>
      <c r="R77" s="6"/>
      <c r="S77" s="6"/>
      <c r="T77" s="6"/>
      <c r="U77" s="6"/>
      <c r="V77" s="6"/>
      <c r="W77" s="6"/>
      <c r="X77" s="6"/>
      <c r="Y77" s="6"/>
    </row>
    <row r="78" spans="1:25" x14ac:dyDescent="0.25">
      <c r="A78" s="6" t="s">
        <v>21</v>
      </c>
      <c r="B78" s="12">
        <v>46177</v>
      </c>
      <c r="C78" s="6" t="s">
        <v>22</v>
      </c>
      <c r="D78" s="6" t="s">
        <v>23</v>
      </c>
      <c r="E78" s="6" t="s">
        <v>70</v>
      </c>
      <c r="F78" s="6" t="s">
        <v>55</v>
      </c>
      <c r="G78" s="6" t="s">
        <v>26</v>
      </c>
      <c r="H78" s="6" t="s">
        <v>169</v>
      </c>
      <c r="I78" s="6" t="s">
        <v>174</v>
      </c>
      <c r="J78" s="6"/>
      <c r="K78" s="6"/>
      <c r="L78" s="6" t="s">
        <v>434</v>
      </c>
      <c r="M78" s="6" t="s">
        <v>70</v>
      </c>
      <c r="N78" s="6"/>
      <c r="O78" s="6"/>
      <c r="P78" s="6"/>
      <c r="Q78" s="6"/>
      <c r="R78" s="6"/>
      <c r="S78" s="6"/>
      <c r="T78" s="6"/>
      <c r="U78" s="6"/>
      <c r="V78" s="6"/>
      <c r="W78" s="6"/>
      <c r="X78" s="6"/>
      <c r="Y78" s="6"/>
    </row>
    <row r="79" spans="1:25" x14ac:dyDescent="0.25">
      <c r="A79" s="6" t="s">
        <v>21</v>
      </c>
      <c r="B79" s="12">
        <v>46177</v>
      </c>
      <c r="C79" s="6" t="s">
        <v>22</v>
      </c>
      <c r="D79" s="6" t="s">
        <v>23</v>
      </c>
      <c r="E79" s="6" t="s">
        <v>181</v>
      </c>
      <c r="F79" s="6" t="s">
        <v>55</v>
      </c>
      <c r="G79" s="6" t="s">
        <v>26</v>
      </c>
      <c r="H79" s="6" t="s">
        <v>169</v>
      </c>
      <c r="I79" s="6" t="s">
        <v>174</v>
      </c>
      <c r="J79" s="6"/>
      <c r="K79" s="6"/>
      <c r="L79" s="6" t="s">
        <v>434</v>
      </c>
      <c r="M79" s="6" t="s">
        <v>181</v>
      </c>
      <c r="N79" s="6"/>
      <c r="O79" s="6"/>
      <c r="P79" s="6"/>
      <c r="Q79" s="6"/>
      <c r="R79" s="6"/>
      <c r="S79" s="6"/>
      <c r="T79" s="6"/>
      <c r="U79" s="6"/>
      <c r="V79" s="6"/>
      <c r="W79" s="6"/>
      <c r="X79" s="6"/>
      <c r="Y79" s="6"/>
    </row>
    <row r="80" spans="1:25" x14ac:dyDescent="0.25">
      <c r="A80" s="6" t="s">
        <v>21</v>
      </c>
      <c r="B80" s="12">
        <v>46177</v>
      </c>
      <c r="C80" s="6" t="s">
        <v>22</v>
      </c>
      <c r="D80" s="6" t="s">
        <v>23</v>
      </c>
      <c r="E80" s="6" t="s">
        <v>125</v>
      </c>
      <c r="F80" s="6" t="s">
        <v>55</v>
      </c>
      <c r="G80" s="6" t="s">
        <v>26</v>
      </c>
      <c r="H80" s="6" t="s">
        <v>169</v>
      </c>
      <c r="I80" s="6" t="s">
        <v>174</v>
      </c>
      <c r="J80" s="6"/>
      <c r="K80" s="6"/>
      <c r="L80" s="6" t="s">
        <v>434</v>
      </c>
      <c r="M80" s="6" t="s">
        <v>125</v>
      </c>
      <c r="N80" s="6"/>
      <c r="O80" s="6"/>
      <c r="P80" s="6"/>
      <c r="Q80" s="6"/>
      <c r="R80" s="6"/>
      <c r="S80" s="6"/>
      <c r="T80" s="6"/>
      <c r="U80" s="6"/>
      <c r="V80" s="6"/>
      <c r="W80" s="6"/>
      <c r="X80" s="6" t="s">
        <v>31</v>
      </c>
      <c r="Y80" s="6" t="s">
        <v>130</v>
      </c>
    </row>
    <row r="81" spans="1:25" x14ac:dyDescent="0.25">
      <c r="A81" s="6" t="s">
        <v>21</v>
      </c>
      <c r="B81" s="12">
        <v>46177</v>
      </c>
      <c r="C81" s="6" t="s">
        <v>22</v>
      </c>
      <c r="D81" s="6" t="s">
        <v>23</v>
      </c>
      <c r="E81" s="6" t="s">
        <v>123</v>
      </c>
      <c r="F81" s="6" t="s">
        <v>55</v>
      </c>
      <c r="G81" s="6" t="s">
        <v>26</v>
      </c>
      <c r="H81" s="6" t="s">
        <v>169</v>
      </c>
      <c r="I81" s="6" t="s">
        <v>174</v>
      </c>
      <c r="J81" s="6"/>
      <c r="K81" s="6"/>
      <c r="L81" s="6" t="s">
        <v>434</v>
      </c>
      <c r="M81" s="6" t="s">
        <v>123</v>
      </c>
      <c r="N81" s="6"/>
      <c r="O81" s="6"/>
      <c r="P81" s="6"/>
      <c r="Q81" s="6"/>
      <c r="R81" s="6"/>
      <c r="S81" s="6"/>
      <c r="T81" s="6"/>
      <c r="U81" s="6"/>
      <c r="V81" s="6"/>
      <c r="W81" s="6"/>
      <c r="X81" s="6"/>
      <c r="Y81" s="6"/>
    </row>
    <row r="82" spans="1:25" x14ac:dyDescent="0.25">
      <c r="A82" s="6" t="s">
        <v>21</v>
      </c>
      <c r="B82" s="12">
        <v>46177</v>
      </c>
      <c r="C82" s="6" t="s">
        <v>22</v>
      </c>
      <c r="D82" s="6" t="s">
        <v>23</v>
      </c>
      <c r="E82" s="6" t="s">
        <v>86</v>
      </c>
      <c r="F82" s="6" t="s">
        <v>55</v>
      </c>
      <c r="G82" s="6" t="s">
        <v>26</v>
      </c>
      <c r="H82" s="6" t="s">
        <v>169</v>
      </c>
      <c r="I82" s="6" t="s">
        <v>174</v>
      </c>
      <c r="J82" s="6"/>
      <c r="K82" s="6"/>
      <c r="L82" s="6" t="s">
        <v>434</v>
      </c>
      <c r="M82" s="6" t="s">
        <v>86</v>
      </c>
      <c r="N82" s="6"/>
      <c r="O82" s="6"/>
      <c r="P82" s="6"/>
      <c r="Q82" s="6"/>
      <c r="R82" s="6"/>
      <c r="S82" s="6"/>
      <c r="T82" s="6"/>
      <c r="U82" s="6"/>
      <c r="V82" s="6"/>
      <c r="W82" s="6"/>
      <c r="X82" s="6" t="s">
        <v>31</v>
      </c>
      <c r="Y82" s="6" t="s">
        <v>131</v>
      </c>
    </row>
    <row r="83" spans="1:25" x14ac:dyDescent="0.25">
      <c r="A83" s="6" t="s">
        <v>21</v>
      </c>
      <c r="B83" s="12">
        <v>46177</v>
      </c>
      <c r="C83" s="6" t="s">
        <v>22</v>
      </c>
      <c r="D83" s="6" t="s">
        <v>23</v>
      </c>
      <c r="E83" s="6" t="s">
        <v>58</v>
      </c>
      <c r="F83" s="6" t="s">
        <v>55</v>
      </c>
      <c r="G83" s="6" t="s">
        <v>26</v>
      </c>
      <c r="H83" s="6" t="s">
        <v>169</v>
      </c>
      <c r="I83" s="6" t="s">
        <v>174</v>
      </c>
      <c r="J83" s="6"/>
      <c r="K83" s="6"/>
      <c r="L83" s="6" t="s">
        <v>434</v>
      </c>
      <c r="M83" s="6" t="s">
        <v>58</v>
      </c>
      <c r="N83" s="6"/>
      <c r="O83" s="6"/>
      <c r="P83" s="6"/>
      <c r="Q83" s="6"/>
      <c r="R83" s="6"/>
      <c r="S83" s="6"/>
      <c r="T83" s="6"/>
      <c r="U83" s="6"/>
      <c r="V83" s="6"/>
      <c r="W83" s="6"/>
      <c r="X83" s="6" t="s">
        <v>31</v>
      </c>
      <c r="Y83" s="6" t="s">
        <v>132</v>
      </c>
    </row>
    <row r="84" spans="1:25" x14ac:dyDescent="0.25">
      <c r="A84" s="6" t="s">
        <v>21</v>
      </c>
      <c r="B84" s="12">
        <v>46177</v>
      </c>
      <c r="C84" s="6" t="s">
        <v>22</v>
      </c>
      <c r="D84" s="6" t="s">
        <v>23</v>
      </c>
      <c r="E84" s="6" t="s">
        <v>58</v>
      </c>
      <c r="F84" s="6" t="s">
        <v>25</v>
      </c>
      <c r="G84" s="6" t="s">
        <v>26</v>
      </c>
      <c r="H84" s="6" t="s">
        <v>177</v>
      </c>
      <c r="I84" s="6" t="s">
        <v>133</v>
      </c>
      <c r="J84" s="6"/>
      <c r="K84" s="6"/>
      <c r="L84" s="6" t="s">
        <v>435</v>
      </c>
      <c r="M84" s="6" t="s">
        <v>33</v>
      </c>
      <c r="N84" s="6" t="str">
        <f>_xlfn.XLOOKUP(O84,'Governance Dimension_Topics'!$C$3:$C$16,'Governance Dimension_Topics'!$B$3:$B$16,"None",0)</f>
        <v>Economic</v>
      </c>
      <c r="O84" s="6" t="s">
        <v>35</v>
      </c>
      <c r="P84" s="6" t="str">
        <f>_xlfn.XLOOKUP(Q84,'Governance Dimension_Topics'!$C$3:$C$16,'Governance Dimension_Topics'!$B$3:$B$16,"None",0)</f>
        <v>Legal</v>
      </c>
      <c r="Q84" s="6" t="s">
        <v>39</v>
      </c>
      <c r="R84" s="6"/>
      <c r="S84" s="6"/>
      <c r="T84" s="6"/>
      <c r="U84" s="6"/>
      <c r="V84" s="6"/>
      <c r="W84" s="6"/>
      <c r="X84" s="6"/>
      <c r="Y84" s="6"/>
    </row>
    <row r="85" spans="1:25" x14ac:dyDescent="0.25">
      <c r="A85" s="6" t="s">
        <v>21</v>
      </c>
      <c r="B85" s="12">
        <v>46177</v>
      </c>
      <c r="C85" s="6" t="s">
        <v>22</v>
      </c>
      <c r="D85" s="6" t="s">
        <v>23</v>
      </c>
      <c r="E85" s="6" t="s">
        <v>33</v>
      </c>
      <c r="F85" s="6" t="s">
        <v>55</v>
      </c>
      <c r="G85" s="6" t="s">
        <v>26</v>
      </c>
      <c r="H85" s="6" t="s">
        <v>177</v>
      </c>
      <c r="I85" s="6" t="s">
        <v>133</v>
      </c>
      <c r="J85" s="6"/>
      <c r="K85" s="6"/>
      <c r="L85" s="6" t="s">
        <v>435</v>
      </c>
      <c r="M85" s="6" t="s">
        <v>33</v>
      </c>
      <c r="N85" s="6"/>
      <c r="O85" s="6"/>
      <c r="P85" s="6"/>
      <c r="Q85" s="6"/>
      <c r="R85" s="6"/>
      <c r="S85" s="6"/>
      <c r="T85" s="6"/>
      <c r="U85" s="6"/>
      <c r="V85" s="6"/>
      <c r="W85" s="6"/>
      <c r="X85" s="6"/>
      <c r="Y85" s="6"/>
    </row>
    <row r="86" spans="1:25" x14ac:dyDescent="0.25">
      <c r="A86" s="6" t="s">
        <v>21</v>
      </c>
      <c r="B86" s="12">
        <v>46177</v>
      </c>
      <c r="C86" s="6" t="s">
        <v>22</v>
      </c>
      <c r="D86" s="6" t="s">
        <v>23</v>
      </c>
      <c r="E86" s="6" t="s">
        <v>33</v>
      </c>
      <c r="F86" s="6" t="s">
        <v>25</v>
      </c>
      <c r="G86" s="6" t="s">
        <v>26</v>
      </c>
      <c r="H86" s="6" t="s">
        <v>175</v>
      </c>
      <c r="I86" s="6" t="s">
        <v>174</v>
      </c>
      <c r="J86" s="6" t="s">
        <v>162</v>
      </c>
      <c r="K86" s="6"/>
      <c r="L86" s="6" t="s">
        <v>436</v>
      </c>
      <c r="M86" s="6" t="s">
        <v>54</v>
      </c>
      <c r="N86" s="6" t="str">
        <f>_xlfn.XLOOKUP(O86,'Governance Dimension_Topics'!$C$3:$C$16,'Governance Dimension_Topics'!$B$3:$B$16,"None",0)</f>
        <v>Legal</v>
      </c>
      <c r="O86" s="6" t="s">
        <v>39</v>
      </c>
      <c r="P86" s="6"/>
      <c r="Q86" s="6"/>
      <c r="R86" s="6"/>
      <c r="S86" s="6"/>
      <c r="T86" s="6"/>
      <c r="U86" s="6"/>
      <c r="V86" s="6"/>
      <c r="W86" s="6"/>
      <c r="X86" s="6"/>
      <c r="Y86" s="6"/>
    </row>
    <row r="87" spans="1:25" x14ac:dyDescent="0.25">
      <c r="A87" s="6" t="s">
        <v>21</v>
      </c>
      <c r="B87" s="12">
        <v>46177</v>
      </c>
      <c r="C87" s="6" t="s">
        <v>22</v>
      </c>
      <c r="D87" s="6" t="s">
        <v>23</v>
      </c>
      <c r="E87" s="6" t="s">
        <v>54</v>
      </c>
      <c r="F87" s="6" t="s">
        <v>55</v>
      </c>
      <c r="G87" s="6" t="s">
        <v>26</v>
      </c>
      <c r="H87" s="6" t="s">
        <v>175</v>
      </c>
      <c r="I87" s="6" t="s">
        <v>174</v>
      </c>
      <c r="J87" s="6"/>
      <c r="K87" s="6"/>
      <c r="L87" s="6" t="s">
        <v>436</v>
      </c>
      <c r="M87" s="6" t="s">
        <v>54</v>
      </c>
      <c r="N87" s="6"/>
      <c r="O87" s="6"/>
      <c r="P87" s="6"/>
      <c r="Q87" s="6"/>
      <c r="R87" s="6"/>
      <c r="S87" s="6"/>
      <c r="T87" s="6"/>
      <c r="U87" s="6"/>
      <c r="V87" s="6"/>
      <c r="W87" s="6"/>
      <c r="X87" s="6"/>
      <c r="Y87" s="6"/>
    </row>
    <row r="88" spans="1:25" x14ac:dyDescent="0.25">
      <c r="A88" s="6" t="s">
        <v>21</v>
      </c>
      <c r="B88" s="12">
        <v>46177</v>
      </c>
      <c r="C88" s="6" t="s">
        <v>22</v>
      </c>
      <c r="D88" s="6" t="s">
        <v>23</v>
      </c>
      <c r="E88" s="6" t="s">
        <v>33</v>
      </c>
      <c r="F88" s="6" t="s">
        <v>25</v>
      </c>
      <c r="G88" s="6" t="s">
        <v>26</v>
      </c>
      <c r="H88" s="6" t="s">
        <v>173</v>
      </c>
      <c r="I88" s="6" t="s">
        <v>162</v>
      </c>
      <c r="J88" s="6"/>
      <c r="K88" s="6"/>
      <c r="L88" s="6" t="s">
        <v>436</v>
      </c>
      <c r="M88" s="6" t="s">
        <v>54</v>
      </c>
      <c r="N88" s="6" t="str">
        <f>_xlfn.XLOOKUP(O88,'Governance Dimension_Topics'!$C$3:$C$16,'Governance Dimension_Topics'!$B$3:$B$16,"None",0)</f>
        <v>Legal</v>
      </c>
      <c r="O88" s="6" t="s">
        <v>39</v>
      </c>
      <c r="P88" s="6" t="str">
        <f>_xlfn.XLOOKUP(Q88,'Governance Dimension_Topics'!$C$3:$C$16,'Governance Dimension_Topics'!$B$3:$B$16,"None",0)</f>
        <v>Economic</v>
      </c>
      <c r="Q88" s="8" t="s">
        <v>147</v>
      </c>
      <c r="R88" s="6"/>
      <c r="S88" s="6"/>
      <c r="T88" s="6"/>
      <c r="U88" s="6"/>
      <c r="V88" s="6"/>
      <c r="W88" s="6"/>
      <c r="X88" s="6"/>
      <c r="Y88" s="6"/>
    </row>
    <row r="89" spans="1:25" x14ac:dyDescent="0.25">
      <c r="A89" s="6" t="s">
        <v>21</v>
      </c>
      <c r="B89" s="12">
        <v>46177</v>
      </c>
      <c r="C89" s="6" t="s">
        <v>22</v>
      </c>
      <c r="D89" s="6" t="s">
        <v>23</v>
      </c>
      <c r="E89" s="6" t="s">
        <v>119</v>
      </c>
      <c r="F89" s="6" t="s">
        <v>25</v>
      </c>
      <c r="G89" s="6" t="s">
        <v>26</v>
      </c>
      <c r="H89" s="6" t="s">
        <v>173</v>
      </c>
      <c r="I89" s="6" t="s">
        <v>174</v>
      </c>
      <c r="J89" s="6"/>
      <c r="K89" s="6"/>
      <c r="L89" s="6" t="s">
        <v>436</v>
      </c>
      <c r="M89" s="6" t="s">
        <v>54</v>
      </c>
      <c r="N89" s="6" t="str">
        <f>_xlfn.XLOOKUP(O89,'Governance Dimension_Topics'!$C$3:$C$16,'Governance Dimension_Topics'!$B$3:$B$16,"None",0)</f>
        <v>Legal</v>
      </c>
      <c r="O89" s="6" t="s">
        <v>39</v>
      </c>
      <c r="P89" s="6" t="str">
        <f>_xlfn.XLOOKUP(Q89,'Governance Dimension_Topics'!$C$3:$C$16,'Governance Dimension_Topics'!$B$3:$B$16,"None",0)</f>
        <v>Economic</v>
      </c>
      <c r="Q89" s="6" t="s">
        <v>35</v>
      </c>
      <c r="R89" s="6" t="str">
        <f>_xlfn.XLOOKUP(S89,'[1]Governance Dimension_Topics'!$C$3:$C$16,'[1]Governance Dimension_Topics'!$B$3:$B$16,"None",0)</f>
        <v>Development</v>
      </c>
      <c r="S89" s="7" t="s">
        <v>188</v>
      </c>
      <c r="T89" s="6" t="str">
        <f>_xlfn.XLOOKUP(U89,'[1]Governance Dimension_Topics'!$C$3:$C$16,'[1]Governance Dimension_Topics'!$B$3:$B$16,"None",0)</f>
        <v>Development</v>
      </c>
      <c r="U89" s="6" t="s">
        <v>93</v>
      </c>
      <c r="V89" s="6"/>
      <c r="W89" s="6"/>
      <c r="X89" s="6"/>
      <c r="Y89" s="6"/>
    </row>
    <row r="90" spans="1:25" x14ac:dyDescent="0.25">
      <c r="A90" s="6" t="s">
        <v>21</v>
      </c>
      <c r="B90" s="12">
        <v>46177</v>
      </c>
      <c r="C90" s="6" t="s">
        <v>22</v>
      </c>
      <c r="D90" s="6" t="s">
        <v>23</v>
      </c>
      <c r="E90" s="6" t="s">
        <v>54</v>
      </c>
      <c r="F90" s="6" t="s">
        <v>55</v>
      </c>
      <c r="G90" s="6" t="s">
        <v>26</v>
      </c>
      <c r="H90" s="6" t="s">
        <v>173</v>
      </c>
      <c r="I90" s="6" t="s">
        <v>174</v>
      </c>
      <c r="J90" s="6"/>
      <c r="K90" s="6"/>
      <c r="L90" s="6" t="s">
        <v>436</v>
      </c>
      <c r="M90" s="6" t="s">
        <v>54</v>
      </c>
      <c r="N90" s="6"/>
      <c r="O90" s="6"/>
      <c r="P90" s="6"/>
      <c r="Q90" s="6"/>
      <c r="R90" s="6"/>
      <c r="S90" s="6"/>
      <c r="T90" s="6"/>
      <c r="U90" s="6"/>
      <c r="V90" s="6"/>
      <c r="W90" s="6"/>
      <c r="X90" s="6"/>
      <c r="Y90" s="6"/>
    </row>
    <row r="91" spans="1:25" x14ac:dyDescent="0.25">
      <c r="A91" s="6" t="s">
        <v>21</v>
      </c>
      <c r="B91" s="12">
        <v>46177</v>
      </c>
      <c r="C91" s="6" t="s">
        <v>22</v>
      </c>
      <c r="D91" s="6" t="s">
        <v>23</v>
      </c>
      <c r="E91" s="6" t="s">
        <v>45</v>
      </c>
      <c r="F91" s="6" t="s">
        <v>25</v>
      </c>
      <c r="G91" s="6" t="s">
        <v>59</v>
      </c>
      <c r="H91" s="6" t="s">
        <v>135</v>
      </c>
      <c r="I91" s="8" t="s">
        <v>211</v>
      </c>
      <c r="J91" s="6" t="s">
        <v>231</v>
      </c>
      <c r="K91" s="6" t="s">
        <v>108</v>
      </c>
      <c r="L91" s="6" t="s">
        <v>166</v>
      </c>
      <c r="M91" s="6" t="s">
        <v>64</v>
      </c>
      <c r="N91" s="6" t="str">
        <f>_xlfn.XLOOKUP(O91,'Governance Dimension_Topics'!$C$3:$C$16,'Governance Dimension_Topics'!$B$3:$B$16,"None",0)</f>
        <v>Legal</v>
      </c>
      <c r="O91" s="6" t="s">
        <v>39</v>
      </c>
      <c r="P91" s="6"/>
      <c r="Q91" s="6"/>
      <c r="R91" s="6"/>
      <c r="S91" s="6"/>
      <c r="T91" s="6"/>
      <c r="U91" s="6"/>
      <c r="V91" s="6"/>
      <c r="W91" s="6"/>
      <c r="X91" s="6" t="s">
        <v>48</v>
      </c>
      <c r="Y91" s="6" t="s">
        <v>136</v>
      </c>
    </row>
    <row r="92" spans="1:25" x14ac:dyDescent="0.25">
      <c r="A92" s="6" t="s">
        <v>21</v>
      </c>
      <c r="B92" s="12">
        <v>46177</v>
      </c>
      <c r="C92" s="6" t="s">
        <v>22</v>
      </c>
      <c r="D92" s="6" t="s">
        <v>23</v>
      </c>
      <c r="E92" s="6" t="s">
        <v>64</v>
      </c>
      <c r="F92" s="6" t="s">
        <v>55</v>
      </c>
      <c r="G92" s="6" t="s">
        <v>59</v>
      </c>
      <c r="H92" s="6" t="s">
        <v>135</v>
      </c>
      <c r="I92" s="6" t="s">
        <v>231</v>
      </c>
      <c r="J92" s="6" t="s">
        <v>211</v>
      </c>
      <c r="K92" s="6" t="s">
        <v>108</v>
      </c>
      <c r="L92" s="6" t="s">
        <v>166</v>
      </c>
      <c r="M92" s="6" t="s">
        <v>64</v>
      </c>
      <c r="N92" s="6"/>
      <c r="O92" s="6"/>
      <c r="P92" s="6"/>
      <c r="Q92" s="6"/>
      <c r="R92" s="6"/>
      <c r="S92" s="6"/>
      <c r="T92" s="6"/>
      <c r="U92" s="6"/>
      <c r="V92" s="6"/>
      <c r="W92" s="6"/>
      <c r="X92" s="6" t="s">
        <v>48</v>
      </c>
      <c r="Y92" s="6" t="s">
        <v>137</v>
      </c>
    </row>
    <row r="93" spans="1:25" x14ac:dyDescent="0.25">
      <c r="A93" s="6" t="s">
        <v>21</v>
      </c>
      <c r="B93" s="12">
        <v>46177</v>
      </c>
      <c r="C93" s="6" t="s">
        <v>22</v>
      </c>
      <c r="D93" s="6" t="s">
        <v>23</v>
      </c>
      <c r="E93" s="6" t="s">
        <v>58</v>
      </c>
      <c r="F93" s="6" t="s">
        <v>25</v>
      </c>
      <c r="G93" s="6" t="s">
        <v>26</v>
      </c>
      <c r="H93" s="6" t="s">
        <v>138</v>
      </c>
      <c r="I93" s="6" t="s">
        <v>162</v>
      </c>
      <c r="J93" s="6" t="s">
        <v>174</v>
      </c>
      <c r="K93" s="6"/>
      <c r="L93" s="6" t="s">
        <v>437</v>
      </c>
      <c r="M93" s="6" t="s">
        <v>72</v>
      </c>
      <c r="N93" s="6" t="str">
        <f>_xlfn.XLOOKUP(O93,'Governance Dimension_Topics'!$C$3:$C$16,'Governance Dimension_Topics'!$B$3:$B$16,"None",0)</f>
        <v>Political Economy</v>
      </c>
      <c r="O93" s="7" t="s">
        <v>29</v>
      </c>
      <c r="P93" s="6"/>
      <c r="Q93" s="6"/>
      <c r="R93" s="6"/>
      <c r="S93" s="6"/>
      <c r="T93" s="6"/>
      <c r="U93" s="6"/>
      <c r="V93" s="6"/>
      <c r="W93" s="6"/>
      <c r="X93" s="6" t="s">
        <v>31</v>
      </c>
      <c r="Y93" s="6" t="s">
        <v>139</v>
      </c>
    </row>
    <row r="94" spans="1:25" x14ac:dyDescent="0.25">
      <c r="A94" s="6" t="s">
        <v>21</v>
      </c>
      <c r="B94" s="12">
        <v>46177</v>
      </c>
      <c r="C94" s="6" t="s">
        <v>22</v>
      </c>
      <c r="D94" s="6" t="s">
        <v>23</v>
      </c>
      <c r="E94" s="6" t="s">
        <v>172</v>
      </c>
      <c r="F94" s="6" t="s">
        <v>55</v>
      </c>
      <c r="G94" s="6" t="s">
        <v>26</v>
      </c>
      <c r="H94" s="6" t="s">
        <v>138</v>
      </c>
      <c r="I94" s="6" t="s">
        <v>162</v>
      </c>
      <c r="J94" s="6"/>
      <c r="K94" s="6"/>
      <c r="L94" s="6" t="s">
        <v>437</v>
      </c>
      <c r="M94" s="6" t="s">
        <v>72</v>
      </c>
      <c r="N94" s="6"/>
      <c r="O94" s="6"/>
      <c r="P94" s="6"/>
      <c r="Q94" s="6"/>
      <c r="R94" s="6"/>
      <c r="S94" s="6"/>
      <c r="T94" s="6"/>
      <c r="U94" s="6"/>
      <c r="V94" s="6"/>
      <c r="W94" s="6"/>
      <c r="X94" s="6"/>
      <c r="Y94" s="6"/>
    </row>
    <row r="95" spans="1:25" x14ac:dyDescent="0.25">
      <c r="A95" s="6" t="s">
        <v>21</v>
      </c>
      <c r="B95" s="12">
        <v>46177</v>
      </c>
      <c r="C95" s="6" t="s">
        <v>22</v>
      </c>
      <c r="D95" s="6" t="s">
        <v>23</v>
      </c>
      <c r="E95" s="6" t="s">
        <v>54</v>
      </c>
      <c r="F95" s="6" t="s">
        <v>25</v>
      </c>
      <c r="G95" s="6" t="s">
        <v>26</v>
      </c>
      <c r="H95" s="6" t="s">
        <v>138</v>
      </c>
      <c r="I95" s="6" t="s">
        <v>134</v>
      </c>
      <c r="J95" s="6"/>
      <c r="K95" s="6"/>
      <c r="L95" s="6" t="s">
        <v>437</v>
      </c>
      <c r="M95" s="6" t="s">
        <v>72</v>
      </c>
      <c r="N95" s="6"/>
      <c r="O95" s="6"/>
      <c r="P95" s="6"/>
      <c r="Q95" s="6"/>
      <c r="R95" s="6"/>
      <c r="S95" s="6"/>
      <c r="T95" s="6"/>
      <c r="U95" s="6"/>
      <c r="V95" s="6"/>
      <c r="W95" s="6"/>
      <c r="X95" s="6"/>
      <c r="Y95" s="6"/>
    </row>
    <row r="96" spans="1:25" x14ac:dyDescent="0.25">
      <c r="A96" s="6" t="s">
        <v>21</v>
      </c>
      <c r="B96" s="12">
        <v>46177</v>
      </c>
      <c r="C96" s="6" t="s">
        <v>22</v>
      </c>
      <c r="D96" s="6" t="s">
        <v>23</v>
      </c>
      <c r="E96" s="6" t="s">
        <v>72</v>
      </c>
      <c r="F96" s="6" t="s">
        <v>55</v>
      </c>
      <c r="G96" s="6" t="s">
        <v>26</v>
      </c>
      <c r="H96" s="6" t="s">
        <v>138</v>
      </c>
      <c r="I96" s="6" t="s">
        <v>174</v>
      </c>
      <c r="J96" s="6" t="s">
        <v>162</v>
      </c>
      <c r="K96" s="6"/>
      <c r="L96" s="6" t="s">
        <v>437</v>
      </c>
      <c r="M96" s="6" t="s">
        <v>72</v>
      </c>
      <c r="N96" s="6"/>
      <c r="O96" s="6"/>
      <c r="P96" s="6"/>
      <c r="Q96" s="6"/>
      <c r="R96" s="6"/>
      <c r="S96" s="6"/>
      <c r="T96" s="6"/>
      <c r="U96" s="6"/>
      <c r="V96" s="6"/>
      <c r="W96" s="6"/>
      <c r="X96" s="6" t="s">
        <v>31</v>
      </c>
      <c r="Y96" s="6" t="s">
        <v>140</v>
      </c>
    </row>
    <row r="97" spans="1:25" x14ac:dyDescent="0.25">
      <c r="A97" s="6" t="s">
        <v>221</v>
      </c>
      <c r="B97" s="12">
        <v>46176</v>
      </c>
      <c r="C97" s="6" t="s">
        <v>222</v>
      </c>
      <c r="D97" s="6" t="s">
        <v>411</v>
      </c>
      <c r="E97" s="6" t="s">
        <v>223</v>
      </c>
      <c r="F97" s="6" t="s">
        <v>34</v>
      </c>
      <c r="G97" s="6" t="s">
        <v>204</v>
      </c>
      <c r="H97" s="6" t="s">
        <v>224</v>
      </c>
      <c r="I97" s="6" t="s">
        <v>220</v>
      </c>
      <c r="J97" s="6"/>
      <c r="K97" s="6"/>
      <c r="L97" s="6" t="s">
        <v>171</v>
      </c>
      <c r="M97" s="6" t="s">
        <v>225</v>
      </c>
      <c r="N97" s="6" t="str">
        <f>_xlfn.XLOOKUP(O97,'[1]Governance Dimension_Topics'!$C$3:$C$16,'[1]Governance Dimension_Topics'!$B$3:$B$16,"None",0)</f>
        <v>Institutional</v>
      </c>
      <c r="O97" s="6" t="s">
        <v>37</v>
      </c>
      <c r="P97" s="6" t="str">
        <f>_xlfn.XLOOKUP(Q97,'[1]Governance Dimension_Topics'!$C$3:$C$16,'[1]Governance Dimension_Topics'!$B$3:$B$16,"None",0)</f>
        <v>Institutional</v>
      </c>
      <c r="Q97" s="6" t="s">
        <v>51</v>
      </c>
      <c r="R97" s="6" t="str">
        <f>_xlfn.XLOOKUP(S97,'[1]Governance Dimension_Topics'!$C$3:$C$16,'[1]Governance Dimension_Topics'!$B$3:$B$16,"None",0)</f>
        <v>Technical</v>
      </c>
      <c r="S97" s="8" t="s">
        <v>192</v>
      </c>
      <c r="T97" s="6" t="str">
        <f>_xlfn.XLOOKUP(U97,'[1]Governance Dimension_Topics'!$C$3:$C$16,'[1]Governance Dimension_Topics'!$B$3:$B$16,"None",0)</f>
        <v>Legal</v>
      </c>
      <c r="U97" s="6" t="s">
        <v>39</v>
      </c>
      <c r="V97" s="6" t="str">
        <f>_xlfn.XLOOKUP(W97,'[1]Governance Dimension_Topics'!$C$3:$C$16,'[1]Governance Dimension_Topics'!$B$3:$B$16,"None",0)</f>
        <v>Development</v>
      </c>
      <c r="W97" s="6" t="s">
        <v>111</v>
      </c>
      <c r="X97" s="6" t="s">
        <v>31</v>
      </c>
      <c r="Y97" s="6" t="s">
        <v>226</v>
      </c>
    </row>
    <row r="98" spans="1:25" x14ac:dyDescent="0.25">
      <c r="A98" s="6" t="s">
        <v>227</v>
      </c>
      <c r="B98" s="12">
        <v>46038</v>
      </c>
      <c r="C98" s="13" t="s">
        <v>228</v>
      </c>
      <c r="D98" s="6" t="s">
        <v>229</v>
      </c>
      <c r="E98" s="6" t="s">
        <v>223</v>
      </c>
      <c r="F98" s="6" t="s">
        <v>230</v>
      </c>
      <c r="G98" s="6" t="s">
        <v>59</v>
      </c>
      <c r="H98" s="6"/>
      <c r="I98" s="6"/>
      <c r="J98" s="6"/>
      <c r="K98" s="6"/>
      <c r="L98" s="6" t="s">
        <v>171</v>
      </c>
      <c r="M98" s="6" t="s">
        <v>225</v>
      </c>
      <c r="N98" s="6"/>
      <c r="O98" s="6"/>
      <c r="P98" s="6"/>
      <c r="Q98" s="6"/>
      <c r="R98" s="6"/>
      <c r="S98" s="6"/>
      <c r="T98" s="6"/>
      <c r="U98" s="6"/>
      <c r="V98" s="6"/>
      <c r="W98" s="6"/>
      <c r="X98" s="6"/>
      <c r="Y98" s="6"/>
    </row>
    <row r="99" spans="1:25" x14ac:dyDescent="0.25">
      <c r="A99" s="6" t="s">
        <v>227</v>
      </c>
      <c r="B99" s="12">
        <v>46038</v>
      </c>
      <c r="C99" s="6" t="s">
        <v>228</v>
      </c>
      <c r="D99" s="6" t="s">
        <v>229</v>
      </c>
      <c r="E99" s="6" t="s">
        <v>223</v>
      </c>
      <c r="F99" s="6" t="s">
        <v>230</v>
      </c>
      <c r="G99" s="6" t="s">
        <v>59</v>
      </c>
      <c r="H99" s="6"/>
      <c r="I99" s="6" t="s">
        <v>231</v>
      </c>
      <c r="J99" s="6"/>
      <c r="K99" s="6"/>
      <c r="L99" s="6" t="s">
        <v>171</v>
      </c>
      <c r="M99" s="6" t="s">
        <v>225</v>
      </c>
      <c r="N99" s="6" t="str">
        <f>_xlfn.XLOOKUP(O99,'[1]Governance Dimension_Topics'!$C$3:$C$16,'[1]Governance Dimension_Topics'!$B$3:$B$16,"None",0)</f>
        <v>Institutional</v>
      </c>
      <c r="O99" s="6" t="s">
        <v>37</v>
      </c>
      <c r="P99" s="6"/>
      <c r="Q99" s="6"/>
      <c r="R99" s="6"/>
      <c r="S99" s="6"/>
      <c r="T99" s="6"/>
      <c r="U99" s="6"/>
      <c r="V99" s="6"/>
      <c r="W99" s="6"/>
      <c r="X99" s="6"/>
      <c r="Y99" s="6"/>
    </row>
    <row r="100" spans="1:25" x14ac:dyDescent="0.25">
      <c r="A100" s="6" t="s">
        <v>227</v>
      </c>
      <c r="B100" s="12">
        <v>46038</v>
      </c>
      <c r="C100" s="6" t="s">
        <v>228</v>
      </c>
      <c r="D100" s="6" t="s">
        <v>229</v>
      </c>
      <c r="E100" s="6" t="s">
        <v>232</v>
      </c>
      <c r="F100" s="6" t="s">
        <v>230</v>
      </c>
      <c r="G100" s="6" t="s">
        <v>59</v>
      </c>
      <c r="H100" s="6" t="s">
        <v>233</v>
      </c>
      <c r="I100" s="6" t="s">
        <v>231</v>
      </c>
      <c r="J100" s="6"/>
      <c r="K100" s="6"/>
      <c r="L100" s="6" t="s">
        <v>171</v>
      </c>
      <c r="M100" s="6" t="s">
        <v>225</v>
      </c>
      <c r="N100" s="6" t="str">
        <f>_xlfn.XLOOKUP(O100,'[1]Governance Dimension_Topics'!$C$3:$C$16,'[1]Governance Dimension_Topics'!$B$3:$B$16,"None",0)</f>
        <v>Institutional</v>
      </c>
      <c r="O100" s="6" t="s">
        <v>37</v>
      </c>
      <c r="P100" s="6" t="str">
        <f>_xlfn.XLOOKUP(Q100,'[1]Governance Dimension_Topics'!$C$3:$C$16,'[1]Governance Dimension_Topics'!$B$3:$B$16,"None",0)</f>
        <v>Institutional</v>
      </c>
      <c r="Q100" s="6" t="s">
        <v>51</v>
      </c>
      <c r="R100" s="6" t="str">
        <f>_xlfn.XLOOKUP(S100,'[1]Governance Dimension_Topics'!$C$3:$C$16,'[1]Governance Dimension_Topics'!$B$3:$B$16,"None",0)</f>
        <v>Development</v>
      </c>
      <c r="S100" s="7" t="s">
        <v>188</v>
      </c>
      <c r="T100" s="6"/>
      <c r="U100" s="6"/>
      <c r="V100" s="6"/>
      <c r="W100" s="6"/>
      <c r="X100" s="6" t="s">
        <v>31</v>
      </c>
      <c r="Y100" s="6" t="s">
        <v>234</v>
      </c>
    </row>
    <row r="101" spans="1:25" x14ac:dyDescent="0.25">
      <c r="A101" s="6" t="s">
        <v>227</v>
      </c>
      <c r="B101" s="12">
        <v>46038</v>
      </c>
      <c r="C101" s="6" t="s">
        <v>228</v>
      </c>
      <c r="D101" s="6" t="s">
        <v>229</v>
      </c>
      <c r="E101" s="6" t="s">
        <v>235</v>
      </c>
      <c r="F101" s="6" t="s">
        <v>34</v>
      </c>
      <c r="G101" s="6" t="s">
        <v>59</v>
      </c>
      <c r="H101" s="6" t="s">
        <v>236</v>
      </c>
      <c r="I101" s="6" t="s">
        <v>231</v>
      </c>
      <c r="J101" s="6"/>
      <c r="K101" s="6"/>
      <c r="L101" s="6" t="s">
        <v>171</v>
      </c>
      <c r="M101" s="6" t="s">
        <v>225</v>
      </c>
      <c r="N101" s="6" t="str">
        <f>_xlfn.XLOOKUP(O101,'[1]Governance Dimension_Topics'!$C$3:$C$16,'[1]Governance Dimension_Topics'!$B$3:$B$16,"None",0)</f>
        <v>Institutional</v>
      </c>
      <c r="O101" s="6" t="s">
        <v>37</v>
      </c>
      <c r="P101" s="6" t="str">
        <f>_xlfn.XLOOKUP(Q101,'[1]Governance Dimension_Topics'!$C$3:$C$16,'[1]Governance Dimension_Topics'!$B$3:$B$16,"None",0)</f>
        <v>Development</v>
      </c>
      <c r="Q101" s="6" t="s">
        <v>93</v>
      </c>
      <c r="R101" s="6" t="str">
        <f>_xlfn.XLOOKUP(S101,'[1]Governance Dimension_Topics'!$C$3:$C$16,'[1]Governance Dimension_Topics'!$B$3:$B$16,"None",0)</f>
        <v>Development</v>
      </c>
      <c r="S101" s="6" t="s">
        <v>111</v>
      </c>
      <c r="T101" s="6"/>
      <c r="U101" s="6"/>
      <c r="V101" s="6"/>
      <c r="W101" s="6"/>
      <c r="X101" s="6" t="s">
        <v>31</v>
      </c>
      <c r="Y101" s="6" t="s">
        <v>237</v>
      </c>
    </row>
    <row r="102" spans="1:25" x14ac:dyDescent="0.25">
      <c r="A102" s="6" t="s">
        <v>227</v>
      </c>
      <c r="B102" s="12">
        <v>46038</v>
      </c>
      <c r="C102" s="6" t="s">
        <v>228</v>
      </c>
      <c r="D102" s="6" t="s">
        <v>229</v>
      </c>
      <c r="E102" s="6" t="s">
        <v>238</v>
      </c>
      <c r="F102" s="6" t="s">
        <v>34</v>
      </c>
      <c r="G102" s="6" t="s">
        <v>59</v>
      </c>
      <c r="H102" s="6" t="s">
        <v>239</v>
      </c>
      <c r="I102" s="6" t="s">
        <v>231</v>
      </c>
      <c r="J102" s="6"/>
      <c r="K102" s="6"/>
      <c r="L102" s="6" t="s">
        <v>171</v>
      </c>
      <c r="M102" s="6" t="s">
        <v>225</v>
      </c>
      <c r="N102" s="6" t="str">
        <f>_xlfn.XLOOKUP(O102,'[1]Governance Dimension_Topics'!$C$3:$C$16,'[1]Governance Dimension_Topics'!$B$3:$B$16,"None",0)</f>
        <v>Institutional</v>
      </c>
      <c r="O102" s="6" t="s">
        <v>37</v>
      </c>
      <c r="P102" s="6" t="str">
        <f>_xlfn.XLOOKUP(Q102,'[1]Governance Dimension_Topics'!$C$3:$C$16,'[1]Governance Dimension_Topics'!$B$3:$B$16,"None",0)</f>
        <v>Development</v>
      </c>
      <c r="Q102" s="6" t="s">
        <v>93</v>
      </c>
      <c r="R102" s="6"/>
      <c r="S102" s="6"/>
      <c r="T102" s="6"/>
      <c r="U102" s="6"/>
      <c r="V102" s="6"/>
      <c r="W102" s="6"/>
      <c r="X102" s="6" t="s">
        <v>48</v>
      </c>
      <c r="Y102" s="6" t="s">
        <v>240</v>
      </c>
    </row>
    <row r="103" spans="1:25" x14ac:dyDescent="0.25">
      <c r="A103" s="6" t="s">
        <v>227</v>
      </c>
      <c r="B103" s="12">
        <v>46038</v>
      </c>
      <c r="C103" s="6" t="s">
        <v>228</v>
      </c>
      <c r="D103" s="6" t="s">
        <v>229</v>
      </c>
      <c r="E103" s="6" t="s">
        <v>241</v>
      </c>
      <c r="F103" s="6" t="s">
        <v>230</v>
      </c>
      <c r="G103" s="6" t="s">
        <v>59</v>
      </c>
      <c r="H103" s="6"/>
      <c r="I103" s="6" t="s">
        <v>231</v>
      </c>
      <c r="J103" s="6"/>
      <c r="K103" s="6"/>
      <c r="L103" s="6" t="s">
        <v>171</v>
      </c>
      <c r="M103" s="6" t="s">
        <v>225</v>
      </c>
      <c r="N103" s="6" t="str">
        <f>_xlfn.XLOOKUP(O103,'[1]Governance Dimension_Topics'!$C$3:$C$16,'[1]Governance Dimension_Topics'!$B$3:$B$16,"None",0)</f>
        <v>Institutional</v>
      </c>
      <c r="O103" s="6" t="s">
        <v>37</v>
      </c>
      <c r="P103" s="6"/>
      <c r="Q103" s="6"/>
      <c r="R103" s="6"/>
      <c r="S103" s="6"/>
      <c r="T103" s="6"/>
      <c r="U103" s="6"/>
      <c r="V103" s="6"/>
      <c r="W103" s="6"/>
      <c r="X103" s="6"/>
      <c r="Y103" s="6"/>
    </row>
    <row r="104" spans="1:25" x14ac:dyDescent="0.25">
      <c r="A104" s="6" t="s">
        <v>227</v>
      </c>
      <c r="B104" s="12">
        <v>46038</v>
      </c>
      <c r="C104" s="6" t="s">
        <v>228</v>
      </c>
      <c r="D104" s="6" t="s">
        <v>229</v>
      </c>
      <c r="E104" s="6" t="s">
        <v>242</v>
      </c>
      <c r="F104" s="6" t="s">
        <v>230</v>
      </c>
      <c r="G104" s="6" t="s">
        <v>59</v>
      </c>
      <c r="H104" s="6"/>
      <c r="I104" s="6" t="s">
        <v>231</v>
      </c>
      <c r="J104" s="6"/>
      <c r="K104" s="6"/>
      <c r="L104" s="6" t="s">
        <v>171</v>
      </c>
      <c r="M104" s="6" t="s">
        <v>225</v>
      </c>
      <c r="N104" s="6" t="str">
        <f>_xlfn.XLOOKUP(O104,'[1]Governance Dimension_Topics'!$C$3:$C$16,'[1]Governance Dimension_Topics'!$B$3:$B$16,"None",0)</f>
        <v>Institutional</v>
      </c>
      <c r="O104" s="6" t="s">
        <v>37</v>
      </c>
      <c r="P104" s="6"/>
      <c r="Q104" s="6"/>
      <c r="R104" s="6"/>
      <c r="S104" s="6"/>
      <c r="T104" s="6"/>
      <c r="U104" s="6"/>
      <c r="V104" s="6"/>
      <c r="W104" s="6"/>
      <c r="X104" s="6"/>
      <c r="Y104" s="6"/>
    </row>
    <row r="105" spans="1:25" x14ac:dyDescent="0.25">
      <c r="A105" s="6" t="s">
        <v>227</v>
      </c>
      <c r="B105" s="12">
        <v>46038</v>
      </c>
      <c r="C105" s="6" t="s">
        <v>228</v>
      </c>
      <c r="D105" s="6" t="s">
        <v>229</v>
      </c>
      <c r="E105" s="6" t="s">
        <v>243</v>
      </c>
      <c r="F105" s="6" t="s">
        <v>230</v>
      </c>
      <c r="G105" s="6" t="s">
        <v>59</v>
      </c>
      <c r="H105" s="6"/>
      <c r="I105" s="6" t="s">
        <v>231</v>
      </c>
      <c r="J105" s="6"/>
      <c r="K105" s="6"/>
      <c r="L105" s="6" t="s">
        <v>171</v>
      </c>
      <c r="M105" s="6" t="s">
        <v>225</v>
      </c>
      <c r="N105" s="6" t="str">
        <f>_xlfn.XLOOKUP(O105,'[1]Governance Dimension_Topics'!$C$3:$C$16,'[1]Governance Dimension_Topics'!$B$3:$B$16,"None",0)</f>
        <v>Institutional</v>
      </c>
      <c r="O105" s="6" t="s">
        <v>37</v>
      </c>
      <c r="P105" s="6"/>
      <c r="Q105" s="6"/>
      <c r="R105" s="6"/>
      <c r="S105" s="6"/>
      <c r="T105" s="6"/>
      <c r="U105" s="6"/>
      <c r="V105" s="6"/>
      <c r="W105" s="6"/>
      <c r="X105" s="6"/>
      <c r="Y105" s="6"/>
    </row>
    <row r="106" spans="1:25" x14ac:dyDescent="0.25">
      <c r="A106" s="6" t="s">
        <v>227</v>
      </c>
      <c r="B106" s="12">
        <v>46038</v>
      </c>
      <c r="C106" s="6" t="s">
        <v>228</v>
      </c>
      <c r="D106" s="6" t="s">
        <v>229</v>
      </c>
      <c r="E106" s="6" t="s">
        <v>244</v>
      </c>
      <c r="F106" s="6" t="s">
        <v>230</v>
      </c>
      <c r="G106" s="6" t="s">
        <v>59</v>
      </c>
      <c r="H106" s="6"/>
      <c r="I106" s="6" t="s">
        <v>231</v>
      </c>
      <c r="J106" s="6"/>
      <c r="K106" s="6"/>
      <c r="L106" s="6" t="s">
        <v>171</v>
      </c>
      <c r="M106" s="6" t="s">
        <v>225</v>
      </c>
      <c r="N106" s="6" t="str">
        <f>_xlfn.XLOOKUP(O106,'[1]Governance Dimension_Topics'!$C$3:$C$16,'[1]Governance Dimension_Topics'!$B$3:$B$16,"None",0)</f>
        <v>Institutional</v>
      </c>
      <c r="O106" s="6" t="s">
        <v>37</v>
      </c>
      <c r="P106" s="6"/>
      <c r="Q106" s="6"/>
      <c r="R106" s="6"/>
      <c r="S106" s="6"/>
      <c r="T106" s="6"/>
      <c r="U106" s="6"/>
      <c r="V106" s="6"/>
      <c r="W106" s="6"/>
      <c r="X106" s="6"/>
      <c r="Y106" s="6"/>
    </row>
    <row r="107" spans="1:25" x14ac:dyDescent="0.25">
      <c r="A107" s="6" t="s">
        <v>227</v>
      </c>
      <c r="B107" s="12">
        <v>46038</v>
      </c>
      <c r="C107" s="6" t="s">
        <v>228</v>
      </c>
      <c r="D107" s="6" t="s">
        <v>229</v>
      </c>
      <c r="E107" s="6" t="s">
        <v>245</v>
      </c>
      <c r="F107" s="6" t="s">
        <v>230</v>
      </c>
      <c r="G107" s="6" t="s">
        <v>59</v>
      </c>
      <c r="H107" s="6"/>
      <c r="I107" s="6" t="s">
        <v>231</v>
      </c>
      <c r="J107" s="6"/>
      <c r="K107" s="6"/>
      <c r="L107" s="6" t="s">
        <v>171</v>
      </c>
      <c r="M107" s="6" t="s">
        <v>225</v>
      </c>
      <c r="N107" s="6" t="str">
        <f>_xlfn.XLOOKUP(O107,'[1]Governance Dimension_Topics'!$C$3:$C$16,'[1]Governance Dimension_Topics'!$B$3:$B$16,"None",0)</f>
        <v>Institutional</v>
      </c>
      <c r="O107" s="6" t="s">
        <v>37</v>
      </c>
      <c r="P107" s="6"/>
      <c r="Q107" s="6"/>
      <c r="R107" s="6"/>
      <c r="S107" s="6"/>
      <c r="T107" s="6"/>
      <c r="U107" s="6"/>
      <c r="V107" s="6"/>
      <c r="W107" s="6"/>
      <c r="X107" s="6"/>
      <c r="Y107" s="6"/>
    </row>
    <row r="108" spans="1:25" x14ac:dyDescent="0.25">
      <c r="A108" s="6" t="s">
        <v>227</v>
      </c>
      <c r="B108" s="12">
        <v>46038</v>
      </c>
      <c r="C108" s="6" t="s">
        <v>228</v>
      </c>
      <c r="D108" s="6" t="s">
        <v>229</v>
      </c>
      <c r="E108" s="6" t="s">
        <v>68</v>
      </c>
      <c r="F108" s="6" t="s">
        <v>25</v>
      </c>
      <c r="G108" s="6" t="s">
        <v>59</v>
      </c>
      <c r="H108" s="6" t="s">
        <v>246</v>
      </c>
      <c r="I108" s="6" t="s">
        <v>231</v>
      </c>
      <c r="J108" s="6" t="s">
        <v>108</v>
      </c>
      <c r="K108" s="6"/>
      <c r="L108" s="6" t="s">
        <v>171</v>
      </c>
      <c r="M108" s="6" t="s">
        <v>225</v>
      </c>
      <c r="N108" s="6" t="str">
        <f>_xlfn.XLOOKUP(O108,'[1]Governance Dimension_Topics'!$C$3:$C$16,'[1]Governance Dimension_Topics'!$B$3:$B$16,"None",0)</f>
        <v>Regulatory</v>
      </c>
      <c r="O108" s="6" t="s">
        <v>157</v>
      </c>
      <c r="P108" s="6" t="str">
        <f>_xlfn.XLOOKUP(Q108,'[1]Governance Dimension_Topics'!$C$3:$C$16,'[1]Governance Dimension_Topics'!$B$3:$B$16,"None",0)</f>
        <v>Economic</v>
      </c>
      <c r="Q108" s="6" t="s">
        <v>35</v>
      </c>
      <c r="R108" s="6" t="s">
        <v>38</v>
      </c>
      <c r="S108" s="6" t="s">
        <v>39</v>
      </c>
      <c r="T108" s="6"/>
      <c r="U108" s="6"/>
      <c r="V108" s="6"/>
      <c r="W108" s="6"/>
      <c r="X108" s="6" t="s">
        <v>31</v>
      </c>
      <c r="Y108" s="6" t="s">
        <v>247</v>
      </c>
    </row>
    <row r="109" spans="1:25" x14ac:dyDescent="0.25">
      <c r="A109" s="6" t="s">
        <v>227</v>
      </c>
      <c r="B109" s="12">
        <v>46038</v>
      </c>
      <c r="C109" s="6" t="s">
        <v>228</v>
      </c>
      <c r="D109" s="6" t="s">
        <v>229</v>
      </c>
      <c r="E109" s="6" t="s">
        <v>64</v>
      </c>
      <c r="F109" s="6" t="s">
        <v>230</v>
      </c>
      <c r="G109" s="6" t="s">
        <v>59</v>
      </c>
      <c r="H109" s="6"/>
      <c r="I109" s="6" t="s">
        <v>231</v>
      </c>
      <c r="J109" s="6"/>
      <c r="K109" s="6"/>
      <c r="L109" s="6" t="s">
        <v>171</v>
      </c>
      <c r="M109" s="6" t="s">
        <v>225</v>
      </c>
      <c r="N109" s="6" t="str">
        <f>_xlfn.XLOOKUP(O109,'[1]Governance Dimension_Topics'!$C$3:$C$16,'[1]Governance Dimension_Topics'!$B$3:$B$16,"None",0)</f>
        <v>Institutional</v>
      </c>
      <c r="O109" s="6" t="s">
        <v>37</v>
      </c>
      <c r="P109" s="6"/>
      <c r="Q109" s="6"/>
      <c r="R109" s="6"/>
      <c r="S109" s="6"/>
      <c r="T109" s="6"/>
      <c r="U109" s="6"/>
      <c r="V109" s="6"/>
      <c r="W109" s="6"/>
      <c r="X109" s="6"/>
      <c r="Y109" s="6"/>
    </row>
    <row r="110" spans="1:25" x14ac:dyDescent="0.25">
      <c r="A110" s="6" t="s">
        <v>227</v>
      </c>
      <c r="B110" s="12">
        <v>46038</v>
      </c>
      <c r="C110" s="6" t="s">
        <v>228</v>
      </c>
      <c r="D110" s="6" t="s">
        <v>229</v>
      </c>
      <c r="E110" s="6" t="s">
        <v>76</v>
      </c>
      <c r="F110" s="6" t="s">
        <v>230</v>
      </c>
      <c r="G110" s="6" t="s">
        <v>59</v>
      </c>
      <c r="H110" s="6"/>
      <c r="I110" s="6" t="s">
        <v>231</v>
      </c>
      <c r="J110" s="6"/>
      <c r="K110" s="6"/>
      <c r="L110" s="6" t="s">
        <v>171</v>
      </c>
      <c r="M110" s="6" t="s">
        <v>225</v>
      </c>
      <c r="N110" s="6" t="str">
        <f>_xlfn.XLOOKUP(O110,'[1]Governance Dimension_Topics'!$C$3:$C$16,'[1]Governance Dimension_Topics'!$B$3:$B$16,"None",0)</f>
        <v>Institutional</v>
      </c>
      <c r="O110" s="6" t="s">
        <v>37</v>
      </c>
      <c r="P110" s="6"/>
      <c r="Q110" s="6"/>
      <c r="R110" s="6"/>
      <c r="S110" s="6"/>
      <c r="T110" s="6"/>
      <c r="U110" s="6"/>
      <c r="V110" s="6"/>
      <c r="W110" s="6"/>
      <c r="X110" s="6"/>
      <c r="Y110" s="6"/>
    </row>
    <row r="111" spans="1:25" x14ac:dyDescent="0.25">
      <c r="A111" s="6" t="s">
        <v>227</v>
      </c>
      <c r="B111" s="12">
        <v>46038</v>
      </c>
      <c r="C111" s="6" t="s">
        <v>228</v>
      </c>
      <c r="D111" s="6" t="s">
        <v>229</v>
      </c>
      <c r="E111" s="6" t="s">
        <v>58</v>
      </c>
      <c r="F111" s="6" t="s">
        <v>34</v>
      </c>
      <c r="G111" s="6" t="s">
        <v>59</v>
      </c>
      <c r="H111" s="6" t="s">
        <v>248</v>
      </c>
      <c r="I111" s="6" t="s">
        <v>231</v>
      </c>
      <c r="J111" s="6"/>
      <c r="K111" s="6"/>
      <c r="L111" s="6" t="s">
        <v>171</v>
      </c>
      <c r="M111" s="6" t="s">
        <v>225</v>
      </c>
      <c r="N111" s="6" t="str">
        <f>_xlfn.XLOOKUP(O111,'[1]Governance Dimension_Topics'!$C$3:$C$16,'[1]Governance Dimension_Topics'!$B$3:$B$16,"None",0)</f>
        <v>Technical</v>
      </c>
      <c r="O111" s="6" t="s">
        <v>192</v>
      </c>
      <c r="P111" s="6" t="str">
        <f>_xlfn.XLOOKUP(Q111,'[1]Governance Dimension_Topics'!$C$3:$C$16,'[1]Governance Dimension_Topics'!$B$3:$B$16,"None",0)</f>
        <v>Legal</v>
      </c>
      <c r="Q111" s="6" t="s">
        <v>94</v>
      </c>
      <c r="R111" s="6"/>
      <c r="S111" s="6"/>
      <c r="T111" s="6"/>
      <c r="U111" s="6"/>
      <c r="V111" s="6"/>
      <c r="W111" s="6"/>
      <c r="X111" s="6" t="s">
        <v>31</v>
      </c>
      <c r="Y111" s="6" t="s">
        <v>249</v>
      </c>
    </row>
    <row r="112" spans="1:25" x14ac:dyDescent="0.25">
      <c r="A112" s="6" t="s">
        <v>227</v>
      </c>
      <c r="B112" s="12">
        <v>46038</v>
      </c>
      <c r="C112" s="6" t="s">
        <v>228</v>
      </c>
      <c r="D112" s="6" t="s">
        <v>229</v>
      </c>
      <c r="E112" s="6" t="s">
        <v>250</v>
      </c>
      <c r="F112" s="6" t="s">
        <v>230</v>
      </c>
      <c r="G112" s="6" t="s">
        <v>59</v>
      </c>
      <c r="H112" s="6"/>
      <c r="I112" s="6" t="s">
        <v>231</v>
      </c>
      <c r="J112" s="6"/>
      <c r="K112" s="6"/>
      <c r="L112" s="6" t="s">
        <v>171</v>
      </c>
      <c r="M112" s="6" t="s">
        <v>225</v>
      </c>
      <c r="N112" s="6" t="str">
        <f>_xlfn.XLOOKUP(O112,'[1]Governance Dimension_Topics'!$C$3:$C$16,'[1]Governance Dimension_Topics'!$B$3:$B$16,"None",0)</f>
        <v>Institutional</v>
      </c>
      <c r="O112" s="6" t="s">
        <v>37</v>
      </c>
      <c r="P112" s="6"/>
      <c r="Q112" s="6"/>
      <c r="R112" s="6"/>
      <c r="S112" s="6"/>
      <c r="T112" s="6"/>
      <c r="U112" s="6"/>
      <c r="V112" s="6"/>
      <c r="W112" s="6"/>
      <c r="X112" s="6"/>
      <c r="Y112" s="6"/>
    </row>
    <row r="113" spans="1:25" x14ac:dyDescent="0.25">
      <c r="A113" s="6" t="s">
        <v>227</v>
      </c>
      <c r="B113" s="12">
        <v>46038</v>
      </c>
      <c r="C113" s="6" t="s">
        <v>228</v>
      </c>
      <c r="D113" s="6" t="s">
        <v>229</v>
      </c>
      <c r="E113" s="6" t="s">
        <v>125</v>
      </c>
      <c r="F113" s="6" t="s">
        <v>230</v>
      </c>
      <c r="G113" s="6" t="s">
        <v>59</v>
      </c>
      <c r="H113" s="6"/>
      <c r="I113" s="6" t="s">
        <v>231</v>
      </c>
      <c r="J113" s="6"/>
      <c r="K113" s="6"/>
      <c r="L113" s="6" t="s">
        <v>171</v>
      </c>
      <c r="M113" s="6" t="s">
        <v>225</v>
      </c>
      <c r="N113" s="6" t="str">
        <f>_xlfn.XLOOKUP(O113,'[1]Governance Dimension_Topics'!$C$3:$C$16,'[1]Governance Dimension_Topics'!$B$3:$B$16,"None",0)</f>
        <v>Institutional</v>
      </c>
      <c r="O113" s="6" t="s">
        <v>37</v>
      </c>
      <c r="P113" s="6"/>
      <c r="Q113" s="6"/>
      <c r="R113" s="6"/>
      <c r="S113" s="6"/>
      <c r="T113" s="6"/>
      <c r="U113" s="6"/>
      <c r="V113" s="6"/>
      <c r="W113" s="6"/>
      <c r="X113" s="6"/>
      <c r="Y113" s="6"/>
    </row>
    <row r="114" spans="1:25" x14ac:dyDescent="0.25">
      <c r="A114" s="6" t="s">
        <v>227</v>
      </c>
      <c r="B114" s="12">
        <v>46038</v>
      </c>
      <c r="C114" s="6" t="s">
        <v>228</v>
      </c>
      <c r="D114" s="6" t="s">
        <v>229</v>
      </c>
      <c r="E114" s="6" t="s">
        <v>24</v>
      </c>
      <c r="F114" s="6" t="s">
        <v>25</v>
      </c>
      <c r="G114" s="6" t="s">
        <v>59</v>
      </c>
      <c r="H114" s="6" t="s">
        <v>251</v>
      </c>
      <c r="I114" s="6" t="s">
        <v>231</v>
      </c>
      <c r="J114" s="6"/>
      <c r="K114" s="6"/>
      <c r="L114" s="6" t="s">
        <v>171</v>
      </c>
      <c r="M114" s="6" t="s">
        <v>225</v>
      </c>
      <c r="N114" s="6" t="str">
        <f>_xlfn.XLOOKUP(O114,'[1]Governance Dimension_Topics'!$C$3:$C$16,'[1]Governance Dimension_Topics'!$B$3:$B$16,"None",0)</f>
        <v>Development</v>
      </c>
      <c r="O114" s="6" t="s">
        <v>188</v>
      </c>
      <c r="P114" s="6" t="str">
        <f>_xlfn.XLOOKUP(Q114,'[1]Governance Dimension_Topics'!$C$3:$C$16,'[1]Governance Dimension_Topics'!$B$3:$B$16,"None",0)</f>
        <v>Institutional</v>
      </c>
      <c r="Q114" s="6" t="s">
        <v>37</v>
      </c>
      <c r="R114" s="6"/>
      <c r="S114" s="6"/>
      <c r="T114" s="6"/>
      <c r="U114" s="6"/>
      <c r="V114" s="6"/>
      <c r="W114" s="6"/>
      <c r="X114" s="6" t="s">
        <v>31</v>
      </c>
      <c r="Y114" s="6" t="s">
        <v>252</v>
      </c>
    </row>
    <row r="115" spans="1:25" x14ac:dyDescent="0.25">
      <c r="A115" s="6" t="s">
        <v>227</v>
      </c>
      <c r="B115" s="12">
        <v>46038</v>
      </c>
      <c r="C115" s="6" t="s">
        <v>228</v>
      </c>
      <c r="D115" s="6" t="s">
        <v>229</v>
      </c>
      <c r="E115" s="6" t="s">
        <v>253</v>
      </c>
      <c r="F115" s="6" t="s">
        <v>230</v>
      </c>
      <c r="G115" s="6" t="s">
        <v>59</v>
      </c>
      <c r="H115" s="6"/>
      <c r="I115" s="6" t="s">
        <v>231</v>
      </c>
      <c r="J115" s="6"/>
      <c r="K115" s="6"/>
      <c r="L115" s="6" t="s">
        <v>171</v>
      </c>
      <c r="M115" s="6" t="s">
        <v>225</v>
      </c>
      <c r="N115" s="6" t="str">
        <f>_xlfn.XLOOKUP(O115,'[1]Governance Dimension_Topics'!$C$3:$C$16,'[1]Governance Dimension_Topics'!$B$3:$B$16,"None",0)</f>
        <v>Institutional</v>
      </c>
      <c r="O115" s="6" t="s">
        <v>37</v>
      </c>
      <c r="P115" s="6"/>
      <c r="Q115" s="6"/>
      <c r="R115" s="6"/>
      <c r="S115" s="6"/>
      <c r="T115" s="6"/>
      <c r="U115" s="6"/>
      <c r="V115" s="6"/>
      <c r="W115" s="6"/>
      <c r="X115" s="6"/>
      <c r="Y115" s="6"/>
    </row>
    <row r="116" spans="1:25" x14ac:dyDescent="0.25">
      <c r="A116" s="6" t="s">
        <v>227</v>
      </c>
      <c r="B116" s="12">
        <v>46038</v>
      </c>
      <c r="C116" s="6" t="s">
        <v>228</v>
      </c>
      <c r="D116" s="6" t="s">
        <v>229</v>
      </c>
      <c r="E116" s="6" t="s">
        <v>254</v>
      </c>
      <c r="F116" s="6" t="s">
        <v>230</v>
      </c>
      <c r="G116" s="6" t="s">
        <v>59</v>
      </c>
      <c r="H116" s="6"/>
      <c r="I116" s="6" t="s">
        <v>231</v>
      </c>
      <c r="J116" s="6"/>
      <c r="K116" s="6"/>
      <c r="L116" s="6" t="s">
        <v>171</v>
      </c>
      <c r="M116" s="6" t="s">
        <v>225</v>
      </c>
      <c r="N116" s="6" t="str">
        <f>_xlfn.XLOOKUP(O116,'[1]Governance Dimension_Topics'!$C$3:$C$16,'[1]Governance Dimension_Topics'!$B$3:$B$16,"None",0)</f>
        <v>Institutional</v>
      </c>
      <c r="O116" s="6" t="s">
        <v>37</v>
      </c>
      <c r="P116" s="6"/>
      <c r="Q116" s="6"/>
      <c r="R116" s="6"/>
      <c r="S116" s="6"/>
      <c r="T116" s="6"/>
      <c r="U116" s="6"/>
      <c r="V116" s="6"/>
      <c r="W116" s="6"/>
      <c r="X116" s="6"/>
      <c r="Y116" s="6"/>
    </row>
    <row r="117" spans="1:25" x14ac:dyDescent="0.25">
      <c r="A117" s="6" t="s">
        <v>227</v>
      </c>
      <c r="B117" s="12">
        <v>46038</v>
      </c>
      <c r="C117" s="6" t="s">
        <v>228</v>
      </c>
      <c r="D117" s="6" t="s">
        <v>229</v>
      </c>
      <c r="E117" s="6" t="s">
        <v>255</v>
      </c>
      <c r="F117" s="6" t="s">
        <v>230</v>
      </c>
      <c r="G117" s="6" t="s">
        <v>59</v>
      </c>
      <c r="H117" s="6"/>
      <c r="I117" s="6" t="s">
        <v>231</v>
      </c>
      <c r="J117" s="6"/>
      <c r="K117" s="6"/>
      <c r="L117" s="6" t="s">
        <v>171</v>
      </c>
      <c r="M117" s="6" t="s">
        <v>225</v>
      </c>
      <c r="N117" s="6" t="str">
        <f>_xlfn.XLOOKUP(O117,'[1]Governance Dimension_Topics'!$C$3:$C$16,'[1]Governance Dimension_Topics'!$B$3:$B$16,"None",0)</f>
        <v>Institutional</v>
      </c>
      <c r="O117" s="6" t="s">
        <v>37</v>
      </c>
      <c r="P117" s="6"/>
      <c r="Q117" s="6"/>
      <c r="R117" s="6"/>
      <c r="S117" s="6"/>
      <c r="T117" s="6"/>
      <c r="U117" s="6"/>
      <c r="V117" s="6"/>
      <c r="W117" s="6"/>
      <c r="X117" s="6"/>
      <c r="Y117" s="6"/>
    </row>
    <row r="118" spans="1:25" x14ac:dyDescent="0.25">
      <c r="A118" s="6" t="s">
        <v>227</v>
      </c>
      <c r="B118" s="12">
        <v>46038</v>
      </c>
      <c r="C118" s="6" t="s">
        <v>228</v>
      </c>
      <c r="D118" s="6" t="s">
        <v>229</v>
      </c>
      <c r="E118" s="6" t="s">
        <v>33</v>
      </c>
      <c r="F118" s="6" t="s">
        <v>230</v>
      </c>
      <c r="G118" s="6" t="s">
        <v>59</v>
      </c>
      <c r="H118" s="6"/>
      <c r="I118" s="6" t="s">
        <v>231</v>
      </c>
      <c r="J118" s="6"/>
      <c r="K118" s="6"/>
      <c r="L118" s="6" t="s">
        <v>171</v>
      </c>
      <c r="M118" s="6" t="s">
        <v>225</v>
      </c>
      <c r="N118" s="6" t="str">
        <f>_xlfn.XLOOKUP(O118,'[1]Governance Dimension_Topics'!$C$3:$C$16,'[1]Governance Dimension_Topics'!$B$3:$B$16,"None",0)</f>
        <v>Institutional</v>
      </c>
      <c r="O118" s="6" t="s">
        <v>37</v>
      </c>
      <c r="P118" s="6"/>
      <c r="Q118" s="6"/>
      <c r="R118" s="6"/>
      <c r="S118" s="6"/>
      <c r="T118" s="6"/>
      <c r="U118" s="6"/>
      <c r="V118" s="6"/>
      <c r="W118" s="6"/>
      <c r="X118" s="6"/>
      <c r="Y118" s="6"/>
    </row>
    <row r="119" spans="1:25" x14ac:dyDescent="0.25">
      <c r="A119" s="6" t="s">
        <v>256</v>
      </c>
      <c r="B119" s="14">
        <v>46048</v>
      </c>
      <c r="C119" s="6" t="s">
        <v>257</v>
      </c>
      <c r="D119" s="6" t="s">
        <v>258</v>
      </c>
      <c r="E119" s="6" t="s">
        <v>64</v>
      </c>
      <c r="F119" s="6" t="s">
        <v>55</v>
      </c>
      <c r="G119" s="6" t="s">
        <v>59</v>
      </c>
      <c r="H119" s="15"/>
      <c r="I119" s="6" t="s">
        <v>211</v>
      </c>
      <c r="J119" s="6"/>
      <c r="K119" s="6"/>
      <c r="L119" s="6" t="s">
        <v>99</v>
      </c>
      <c r="M119" s="6" t="s">
        <v>64</v>
      </c>
      <c r="N119" s="6" t="str">
        <f>_xlfn.XLOOKUP(O119,'[1]Governance Dimension_Topics'!$C$3:$C$16,'[1]Governance Dimension_Topics'!$B$3:$B$16,"None",0)</f>
        <v>Institutional</v>
      </c>
      <c r="O119" s="6" t="s">
        <v>37</v>
      </c>
      <c r="P119" s="6" t="str">
        <f>_xlfn.XLOOKUP(Q119,'Governance Dimension_Topics'!$C$3:$C$16,'Governance Dimension_Topics'!$B$3:$B$16,"None",0)</f>
        <v>Legal</v>
      </c>
      <c r="Q119" s="6" t="s">
        <v>94</v>
      </c>
      <c r="R119" s="6" t="str">
        <f>_xlfn.XLOOKUP(S119,'Governance Dimension_Topics'!$C$3:$C$16,'Governance Dimension_Topics'!$B$3:$B$16,"None",0)</f>
        <v>Economic</v>
      </c>
      <c r="S119" s="6" t="s">
        <v>105</v>
      </c>
      <c r="T119" s="6" t="str">
        <f>_xlfn.XLOOKUP(U119,'Governance Dimension_Topics'!$C$3:$C$16,'Governance Dimension_Topics'!$B$3:$B$16,"None",0)</f>
        <v>Technical</v>
      </c>
      <c r="U119" s="6" t="s">
        <v>259</v>
      </c>
      <c r="V119" s="6" t="str">
        <f>_xlfn.XLOOKUP(W119,'Governance Dimension_Topics'!$C$3:$C$16,'Governance Dimension_Topics'!$B$3:$B$16,"None",0)</f>
        <v>Regulatory</v>
      </c>
      <c r="W119" s="6" t="s">
        <v>157</v>
      </c>
      <c r="X119" s="6"/>
      <c r="Y119" s="6"/>
    </row>
    <row r="120" spans="1:25" x14ac:dyDescent="0.25">
      <c r="A120" s="6" t="s">
        <v>260</v>
      </c>
      <c r="B120" s="14">
        <v>46048</v>
      </c>
      <c r="C120" s="6" t="s">
        <v>261</v>
      </c>
      <c r="D120" s="6" t="s">
        <v>258</v>
      </c>
      <c r="E120" s="6" t="s">
        <v>64</v>
      </c>
      <c r="F120" s="6" t="s">
        <v>55</v>
      </c>
      <c r="G120" s="6" t="s">
        <v>59</v>
      </c>
      <c r="H120" s="6"/>
      <c r="I120" s="6" t="s">
        <v>108</v>
      </c>
      <c r="J120" s="6"/>
      <c r="K120" s="6"/>
      <c r="L120" s="6" t="s">
        <v>432</v>
      </c>
      <c r="M120" s="6" t="s">
        <v>64</v>
      </c>
      <c r="N120" s="6" t="str">
        <f>_xlfn.XLOOKUP(O120,'[1]Governance Dimension_Topics'!$C$3:$C$16,'[1]Governance Dimension_Topics'!$B$3:$B$16,"None",0)</f>
        <v>Legal</v>
      </c>
      <c r="O120" s="6" t="s">
        <v>94</v>
      </c>
      <c r="P120" s="6" t="str">
        <f>_xlfn.XLOOKUP(Q120,'Governance Dimension_Topics'!$C$3:$C$16,'Governance Dimension_Topics'!$B$3:$B$16,"None",0)</f>
        <v>Economic</v>
      </c>
      <c r="Q120" s="6" t="s">
        <v>105</v>
      </c>
      <c r="R120" s="6" t="str">
        <f>_xlfn.XLOOKUP(S120,'Governance Dimension_Topics'!$C$3:$C$16,'Governance Dimension_Topics'!$B$3:$B$16,"None",0)</f>
        <v>Development</v>
      </c>
      <c r="S120" s="6" t="s">
        <v>111</v>
      </c>
      <c r="T120" s="6" t="str">
        <f>_xlfn.XLOOKUP(U120,'Governance Dimension_Topics'!$C$3:$C$16,'Governance Dimension_Topics'!$B$3:$B$16,"None",0)</f>
        <v>Institutional</v>
      </c>
      <c r="U120" s="6" t="s">
        <v>37</v>
      </c>
      <c r="V120" s="6"/>
      <c r="W120" s="6"/>
      <c r="X120" s="6"/>
      <c r="Y120" s="6"/>
    </row>
    <row r="121" spans="1:25" x14ac:dyDescent="0.25">
      <c r="A121" s="6" t="s">
        <v>262</v>
      </c>
      <c r="B121" s="14">
        <v>46154</v>
      </c>
      <c r="C121" s="6" t="s">
        <v>261</v>
      </c>
      <c r="D121" s="6" t="s">
        <v>258</v>
      </c>
      <c r="E121" s="6" t="s">
        <v>64</v>
      </c>
      <c r="F121" s="6" t="s">
        <v>55</v>
      </c>
      <c r="G121" s="6" t="s">
        <v>59</v>
      </c>
      <c r="H121" s="6"/>
      <c r="I121" s="6" t="s">
        <v>108</v>
      </c>
      <c r="J121" s="6"/>
      <c r="K121" s="6"/>
      <c r="L121" s="6" t="s">
        <v>432</v>
      </c>
      <c r="M121" s="6" t="s">
        <v>64</v>
      </c>
      <c r="N121" s="6" t="str">
        <f>_xlfn.XLOOKUP(O121,'[1]Governance Dimension_Topics'!$C$3:$C$16,'[1]Governance Dimension_Topics'!$B$3:$B$16,"None",0)</f>
        <v>Legal</v>
      </c>
      <c r="O121" s="6" t="s">
        <v>94</v>
      </c>
      <c r="P121" s="6"/>
      <c r="Q121" s="6"/>
      <c r="R121" s="6"/>
      <c r="S121" s="6"/>
      <c r="T121" s="6"/>
      <c r="U121" s="6"/>
      <c r="V121" s="6"/>
      <c r="W121" s="6"/>
      <c r="X121" s="6"/>
      <c r="Y121" s="6"/>
    </row>
    <row r="122" spans="1:25" x14ac:dyDescent="0.25">
      <c r="A122" s="6" t="s">
        <v>263</v>
      </c>
      <c r="B122" s="14">
        <v>46164</v>
      </c>
      <c r="C122" s="6" t="s">
        <v>257</v>
      </c>
      <c r="D122" s="6" t="s">
        <v>258</v>
      </c>
      <c r="E122" s="6" t="s">
        <v>64</v>
      </c>
      <c r="F122" s="6" t="s">
        <v>55</v>
      </c>
      <c r="G122" s="6" t="s">
        <v>59</v>
      </c>
      <c r="H122" s="15"/>
      <c r="I122" s="6" t="s">
        <v>211</v>
      </c>
      <c r="J122" s="6"/>
      <c r="K122" s="6"/>
      <c r="L122" s="6" t="s">
        <v>99</v>
      </c>
      <c r="M122" s="6" t="s">
        <v>64</v>
      </c>
      <c r="N122" s="6" t="str">
        <f>_xlfn.XLOOKUP(O122,'[1]Governance Dimension_Topics'!$C$3:$C$16,'[1]Governance Dimension_Topics'!$B$3:$B$16,"None",0)</f>
        <v>Legal</v>
      </c>
      <c r="O122" s="6" t="s">
        <v>94</v>
      </c>
      <c r="P122" s="6"/>
      <c r="Q122" s="6"/>
      <c r="R122" s="6"/>
      <c r="S122" s="6"/>
      <c r="T122" s="6"/>
      <c r="U122" s="6"/>
      <c r="V122" s="6"/>
      <c r="W122" s="6"/>
      <c r="X122" s="6"/>
      <c r="Y122" s="6"/>
    </row>
    <row r="123" spans="1:25" ht="15.75" x14ac:dyDescent="0.25">
      <c r="A123" s="6" t="s">
        <v>264</v>
      </c>
      <c r="B123" s="14">
        <v>46062</v>
      </c>
      <c r="C123" s="16" t="s">
        <v>265</v>
      </c>
      <c r="D123" s="6" t="s">
        <v>266</v>
      </c>
      <c r="E123" s="6" t="s">
        <v>267</v>
      </c>
      <c r="F123" s="6" t="s">
        <v>34</v>
      </c>
      <c r="G123" s="6" t="s">
        <v>204</v>
      </c>
      <c r="H123" s="6"/>
      <c r="I123" s="11" t="s">
        <v>220</v>
      </c>
      <c r="J123" s="6"/>
      <c r="K123" s="6"/>
      <c r="L123" s="6" t="s">
        <v>171</v>
      </c>
      <c r="M123" s="6" t="s">
        <v>225</v>
      </c>
      <c r="N123" s="6" t="str">
        <f>_xlfn.XLOOKUP(O123,'[1]Governance Dimension_Topics'!$C$3:$C$16,'[1]Governance Dimension_Topics'!$B$3:$B$16,"None",0)</f>
        <v>Institutional</v>
      </c>
      <c r="O123" s="6" t="s">
        <v>37</v>
      </c>
      <c r="P123" s="6" t="str">
        <f>_xlfn.XLOOKUP(Q123,'Governance Dimension_Topics'!$C$3:$C$16,'Governance Dimension_Topics'!$B$3:$B$16,"None",0)</f>
        <v>Development</v>
      </c>
      <c r="Q123" s="7" t="s">
        <v>111</v>
      </c>
      <c r="R123" s="6"/>
      <c r="S123" s="6"/>
      <c r="T123" s="6"/>
      <c r="U123" s="6"/>
      <c r="V123" s="6"/>
      <c r="W123" s="6"/>
      <c r="X123" s="6"/>
      <c r="Y123" s="6"/>
    </row>
    <row r="124" spans="1:25" ht="30" x14ac:dyDescent="0.25">
      <c r="A124" s="6" t="s">
        <v>264</v>
      </c>
      <c r="B124" s="14">
        <v>46062</v>
      </c>
      <c r="C124" s="16" t="s">
        <v>265</v>
      </c>
      <c r="D124" s="6" t="s">
        <v>266</v>
      </c>
      <c r="E124" s="6" t="s">
        <v>267</v>
      </c>
      <c r="F124" s="6" t="s">
        <v>34</v>
      </c>
      <c r="G124" s="6" t="s">
        <v>59</v>
      </c>
      <c r="H124" s="6"/>
      <c r="I124" s="6" t="s">
        <v>108</v>
      </c>
      <c r="J124" s="6" t="s">
        <v>231</v>
      </c>
      <c r="K124" s="6" t="s">
        <v>211</v>
      </c>
      <c r="L124" s="17" t="s">
        <v>268</v>
      </c>
      <c r="M124" s="6" t="s">
        <v>180</v>
      </c>
      <c r="N124" s="6" t="str">
        <f>_xlfn.XLOOKUP(O124,'[1]Governance Dimension_Topics'!$C$3:$C$16,'[1]Governance Dimension_Topics'!$B$3:$B$16,"None",0)</f>
        <v>Institutional</v>
      </c>
      <c r="O124" s="6" t="s">
        <v>37</v>
      </c>
      <c r="P124" s="6" t="str">
        <f>_xlfn.XLOOKUP(Q124,'Governance Dimension_Topics'!$C$3:$C$16,'Governance Dimension_Topics'!$B$3:$B$16,"None",0)</f>
        <v>Development</v>
      </c>
      <c r="Q124" s="7" t="s">
        <v>93</v>
      </c>
      <c r="R124" s="6" t="str">
        <f>_xlfn.XLOOKUP(S124,'Governance Dimension_Topics'!$C$3:$C$16,'Governance Dimension_Topics'!$B$3:$B$16,"None",0)</f>
        <v>Legal</v>
      </c>
      <c r="S124" s="7" t="s">
        <v>39</v>
      </c>
      <c r="T124" s="6" t="str">
        <f>_xlfn.XLOOKUP(U124,'Governance Dimension_Topics'!$C$3:$C$16,'Governance Dimension_Topics'!$B$3:$B$16,"None",0)</f>
        <v>Economic</v>
      </c>
      <c r="U124" s="7" t="s">
        <v>147</v>
      </c>
      <c r="V124" s="6" t="str">
        <f>_xlfn.XLOOKUP(W124,'Governance Dimension_Topics'!$C$3:$C$16,'Governance Dimension_Topics'!$B$3:$B$16,"None",0)</f>
        <v>Development</v>
      </c>
      <c r="W124" s="7" t="s">
        <v>111</v>
      </c>
      <c r="X124" s="6"/>
      <c r="Y124" s="6"/>
    </row>
    <row r="125" spans="1:25" ht="15.75" x14ac:dyDescent="0.25">
      <c r="A125" s="18" t="s">
        <v>269</v>
      </c>
      <c r="B125" s="14">
        <v>46043</v>
      </c>
      <c r="C125" s="16" t="s">
        <v>270</v>
      </c>
      <c r="D125" s="6" t="s">
        <v>266</v>
      </c>
      <c r="E125" s="6" t="s">
        <v>64</v>
      </c>
      <c r="F125" s="6" t="s">
        <v>34</v>
      </c>
      <c r="G125" s="6" t="s">
        <v>26</v>
      </c>
      <c r="H125" s="6"/>
      <c r="I125" s="11" t="s">
        <v>174</v>
      </c>
      <c r="J125" s="6" t="s">
        <v>95</v>
      </c>
      <c r="K125" s="6"/>
      <c r="L125" s="6" t="s">
        <v>171</v>
      </c>
      <c r="M125" s="6" t="s">
        <v>225</v>
      </c>
      <c r="N125" s="6" t="str">
        <f>_xlfn.XLOOKUP(O125,'[1]Governance Dimension_Topics'!$C$3:$C$16,'[1]Governance Dimension_Topics'!$B$3:$B$16,"None",0)</f>
        <v>Institutional</v>
      </c>
      <c r="O125" s="7" t="s">
        <v>51</v>
      </c>
      <c r="P125" s="6" t="str">
        <f>_xlfn.XLOOKUP(Q125,'Governance Dimension_Topics'!$C$3:$C$16,'Governance Dimension_Topics'!$B$3:$B$16,"None",0)</f>
        <v>Legal</v>
      </c>
      <c r="Q125" s="7" t="s">
        <v>39</v>
      </c>
      <c r="R125" s="6" t="str">
        <f>_xlfn.XLOOKUP(S125,'Governance Dimension_Topics'!$C$3:$C$16,'Governance Dimension_Topics'!$B$3:$B$16,"None",0)</f>
        <v>Development</v>
      </c>
      <c r="S125" s="6" t="s">
        <v>188</v>
      </c>
      <c r="T125" s="6"/>
      <c r="U125" s="6"/>
      <c r="V125" s="6"/>
      <c r="W125" s="6"/>
      <c r="X125" s="6"/>
      <c r="Y125" s="6"/>
    </row>
    <row r="126" spans="1:25" ht="60" x14ac:dyDescent="0.25">
      <c r="A126" s="18" t="s">
        <v>275</v>
      </c>
      <c r="B126" s="14">
        <v>46056</v>
      </c>
      <c r="C126" s="16" t="s">
        <v>274</v>
      </c>
      <c r="D126" s="6" t="s">
        <v>266</v>
      </c>
      <c r="E126" s="6" t="s">
        <v>78</v>
      </c>
      <c r="F126" s="6" t="s">
        <v>34</v>
      </c>
      <c r="G126" s="6" t="s">
        <v>59</v>
      </c>
      <c r="H126" s="6"/>
      <c r="I126" s="6" t="s">
        <v>108</v>
      </c>
      <c r="J126" s="6"/>
      <c r="K126" s="6"/>
      <c r="L126" s="6" t="s">
        <v>273</v>
      </c>
      <c r="M126" s="6" t="s">
        <v>180</v>
      </c>
      <c r="N126" s="6" t="str">
        <f>_xlfn.XLOOKUP(O126,'[1]Governance Dimension_Topics'!$C$3:$C$16,'[1]Governance Dimension_Topics'!$B$3:$B$16,"None",0)</f>
        <v>Legal</v>
      </c>
      <c r="O126" s="7" t="s">
        <v>39</v>
      </c>
      <c r="P126" s="6" t="str">
        <f>_xlfn.XLOOKUP(Q126,'Governance Dimension_Topics'!$C$3:$C$16,'Governance Dimension_Topics'!$B$3:$B$16,"None",0)</f>
        <v>Development</v>
      </c>
      <c r="Q126" s="6" t="s">
        <v>188</v>
      </c>
      <c r="R126" s="6" t="str">
        <f>_xlfn.XLOOKUP(S126,'Governance Dimension_Topics'!$C$3:$C$16,'Governance Dimension_Topics'!$B$3:$B$16,"None",0)</f>
        <v>Development</v>
      </c>
      <c r="S126" s="6" t="s">
        <v>111</v>
      </c>
      <c r="T126" s="6" t="str">
        <f>_xlfn.XLOOKUP(U126,'Governance Dimension_Topics'!$C$3:$C$16,'Governance Dimension_Topics'!$B$3:$B$16,"None",0)</f>
        <v>Economic</v>
      </c>
      <c r="U126" s="7" t="s">
        <v>147</v>
      </c>
      <c r="V126" s="6" t="str">
        <f>_xlfn.XLOOKUP(W126,'Governance Dimension_Topics'!$C$3:$C$16,'Governance Dimension_Topics'!$B$3:$B$16,"None",0)</f>
        <v>Economic</v>
      </c>
      <c r="W126" s="7" t="s">
        <v>35</v>
      </c>
      <c r="X126" s="6"/>
      <c r="Y126" s="6"/>
    </row>
    <row r="127" spans="1:25" ht="30" x14ac:dyDescent="0.25">
      <c r="A127" s="18" t="s">
        <v>277</v>
      </c>
      <c r="B127" s="14">
        <v>46071</v>
      </c>
      <c r="C127" s="19" t="s">
        <v>276</v>
      </c>
      <c r="D127" s="6" t="s">
        <v>266</v>
      </c>
      <c r="E127" s="6" t="s">
        <v>33</v>
      </c>
      <c r="F127" s="6" t="s">
        <v>34</v>
      </c>
      <c r="G127" s="6" t="s">
        <v>26</v>
      </c>
      <c r="H127" s="6"/>
      <c r="I127" s="11" t="s">
        <v>174</v>
      </c>
      <c r="J127" s="6" t="s">
        <v>213</v>
      </c>
      <c r="K127" s="6"/>
      <c r="L127" s="6" t="s">
        <v>171</v>
      </c>
      <c r="M127" s="6" t="s">
        <v>225</v>
      </c>
      <c r="N127" s="6" t="str">
        <f>_xlfn.XLOOKUP(O127,'[1]Governance Dimension_Topics'!$C$3:$C$16,'[1]Governance Dimension_Topics'!$B$3:$B$16,"None",0)</f>
        <v>Institutional</v>
      </c>
      <c r="O127" s="7" t="s">
        <v>51</v>
      </c>
      <c r="P127" s="6" t="str">
        <f>_xlfn.XLOOKUP(Q127,'Governance Dimension_Topics'!$C$3:$C$16,'Governance Dimension_Topics'!$B$3:$B$16,"None",0)</f>
        <v>Legal</v>
      </c>
      <c r="Q127" s="7" t="s">
        <v>39</v>
      </c>
      <c r="R127" s="6" t="str">
        <f>_xlfn.XLOOKUP(S127,'Governance Dimension_Topics'!$C$3:$C$16,'Governance Dimension_Topics'!$B$3:$B$16,"None",0)</f>
        <v>Development</v>
      </c>
      <c r="S127" s="6" t="s">
        <v>188</v>
      </c>
      <c r="T127" s="6"/>
      <c r="U127" s="6"/>
      <c r="V127" s="6"/>
      <c r="W127" s="6"/>
      <c r="X127" s="6"/>
      <c r="Y127" s="6"/>
    </row>
    <row r="128" spans="1:25" x14ac:dyDescent="0.25">
      <c r="A128" s="20" t="s">
        <v>278</v>
      </c>
      <c r="B128" s="21">
        <v>46066</v>
      </c>
      <c r="C128" s="20" t="s">
        <v>280</v>
      </c>
      <c r="D128" s="6" t="s">
        <v>266</v>
      </c>
      <c r="E128" s="20" t="s">
        <v>58</v>
      </c>
      <c r="F128" s="20" t="s">
        <v>34</v>
      </c>
      <c r="G128" s="6" t="s">
        <v>204</v>
      </c>
      <c r="H128" s="6"/>
      <c r="I128" s="20" t="s">
        <v>220</v>
      </c>
      <c r="J128" s="6"/>
      <c r="K128" s="6"/>
      <c r="L128" s="6" t="s">
        <v>171</v>
      </c>
      <c r="M128" s="6" t="s">
        <v>225</v>
      </c>
      <c r="N128" s="6" t="str">
        <f>_xlfn.XLOOKUP(O128,'[1]Governance Dimension_Topics'!$C$3:$C$16,'[1]Governance Dimension_Topics'!$B$3:$B$16,"None",0)</f>
        <v>Institutional</v>
      </c>
      <c r="O128" s="20" t="s">
        <v>51</v>
      </c>
      <c r="P128" s="6" t="str">
        <f>_xlfn.XLOOKUP(Q128,'[1]Governance Dimension_Topics'!$C$3:$C$16,'[1]Governance Dimension_Topics'!$B$3:$B$16,"None",0)</f>
        <v>Institutional</v>
      </c>
      <c r="Q128" s="20" t="s">
        <v>37</v>
      </c>
      <c r="R128" s="6"/>
      <c r="S128" s="20"/>
      <c r="T128" s="6"/>
      <c r="U128" s="6"/>
      <c r="V128" s="6"/>
      <c r="W128" s="6"/>
      <c r="X128" s="6"/>
      <c r="Y128" s="6"/>
    </row>
    <row r="129" spans="1:25" x14ac:dyDescent="0.25">
      <c r="A129" s="20" t="s">
        <v>278</v>
      </c>
      <c r="B129" s="21">
        <v>46066</v>
      </c>
      <c r="C129" s="20" t="s">
        <v>280</v>
      </c>
      <c r="D129" s="6" t="s">
        <v>266</v>
      </c>
      <c r="E129" s="20" t="s">
        <v>279</v>
      </c>
      <c r="F129" s="20" t="s">
        <v>34</v>
      </c>
      <c r="G129" s="6" t="s">
        <v>204</v>
      </c>
      <c r="H129" s="6"/>
      <c r="I129" s="20" t="s">
        <v>220</v>
      </c>
      <c r="J129" s="20"/>
      <c r="K129" s="6"/>
      <c r="L129" s="6" t="s">
        <v>171</v>
      </c>
      <c r="M129" s="6" t="s">
        <v>225</v>
      </c>
      <c r="N129" s="6" t="str">
        <f>_xlfn.XLOOKUP(O129,'[1]Governance Dimension_Topics'!$C$3:$C$16,'[1]Governance Dimension_Topics'!$B$3:$B$16,"None",0)</f>
        <v>Legal</v>
      </c>
      <c r="O129" s="20" t="s">
        <v>39</v>
      </c>
      <c r="P129" s="6" t="str">
        <f>_xlfn.XLOOKUP(Q129,'[1]Governance Dimension_Topics'!$C$3:$C$16,'[1]Governance Dimension_Topics'!$B$3:$B$16,"None",0)</f>
        <v>Development</v>
      </c>
      <c r="Q129" s="7" t="s">
        <v>111</v>
      </c>
      <c r="R129" s="6" t="str">
        <f>_xlfn.XLOOKUP(S129,'[1]Governance Dimension_Topics'!$C$3:$C$16,'[1]Governance Dimension_Topics'!$B$3:$B$16,"None",0)</f>
        <v>Regulatory</v>
      </c>
      <c r="S129" s="7" t="s">
        <v>157</v>
      </c>
      <c r="T129" s="6"/>
      <c r="U129" s="6"/>
      <c r="V129" s="6"/>
      <c r="W129" s="6"/>
      <c r="X129" s="6"/>
      <c r="Y129" s="6"/>
    </row>
    <row r="130" spans="1:25" x14ac:dyDescent="0.25">
      <c r="A130" s="20" t="s">
        <v>278</v>
      </c>
      <c r="B130" s="21">
        <v>46066</v>
      </c>
      <c r="C130" s="20" t="s">
        <v>280</v>
      </c>
      <c r="D130" s="6" t="s">
        <v>266</v>
      </c>
      <c r="E130" s="20" t="s">
        <v>68</v>
      </c>
      <c r="F130" s="20" t="s">
        <v>25</v>
      </c>
      <c r="G130" s="6" t="s">
        <v>204</v>
      </c>
      <c r="H130" s="6"/>
      <c r="I130" s="20" t="s">
        <v>220</v>
      </c>
      <c r="J130" s="20"/>
      <c r="K130" s="6"/>
      <c r="L130" s="6" t="s">
        <v>171</v>
      </c>
      <c r="M130" s="6" t="s">
        <v>225</v>
      </c>
      <c r="N130" s="6" t="str">
        <f>_xlfn.XLOOKUP(O130,'[1]Governance Dimension_Topics'!$C$3:$C$16,'[1]Governance Dimension_Topics'!$B$3:$B$16,"None",0)</f>
        <v>Legal</v>
      </c>
      <c r="O130" s="20" t="s">
        <v>39</v>
      </c>
      <c r="P130" s="6" t="str">
        <f>_xlfn.XLOOKUP(Q130,'[1]Governance Dimension_Topics'!$C$3:$C$16,'[1]Governance Dimension_Topics'!$B$3:$B$16,"None",0)</f>
        <v>Regulatory</v>
      </c>
      <c r="Q130" s="7" t="s">
        <v>157</v>
      </c>
      <c r="R130" s="6" t="str">
        <f>_xlfn.XLOOKUP(S130,'[1]Governance Dimension_Topics'!$C$3:$C$16,'[1]Governance Dimension_Topics'!$B$3:$B$16,"None",0)</f>
        <v>Legal</v>
      </c>
      <c r="S130" s="20" t="s">
        <v>94</v>
      </c>
      <c r="T130" s="6"/>
      <c r="U130" s="6"/>
      <c r="V130" s="6"/>
      <c r="W130" s="6"/>
      <c r="X130" s="6"/>
      <c r="Y130" s="6"/>
    </row>
    <row r="131" spans="1:25" x14ac:dyDescent="0.25">
      <c r="A131" s="20" t="s">
        <v>278</v>
      </c>
      <c r="B131" s="21">
        <v>46066</v>
      </c>
      <c r="C131" s="20" t="s">
        <v>280</v>
      </c>
      <c r="D131" s="6" t="s">
        <v>266</v>
      </c>
      <c r="E131" s="20" t="s">
        <v>33</v>
      </c>
      <c r="F131" s="20" t="s">
        <v>55</v>
      </c>
      <c r="G131" s="6" t="s">
        <v>204</v>
      </c>
      <c r="H131" s="6"/>
      <c r="I131" s="20" t="s">
        <v>220</v>
      </c>
      <c r="J131" s="20"/>
      <c r="K131" s="6"/>
      <c r="L131" s="6" t="s">
        <v>171</v>
      </c>
      <c r="M131" s="6" t="s">
        <v>225</v>
      </c>
      <c r="N131" s="6" t="str">
        <f>_xlfn.XLOOKUP(O131,'[1]Governance Dimension_Topics'!$C$3:$C$16,'[1]Governance Dimension_Topics'!$B$3:$B$16,"None",0)</f>
        <v>Institutional</v>
      </c>
      <c r="O131" s="20" t="s">
        <v>37</v>
      </c>
      <c r="P131" s="6" t="str">
        <f>_xlfn.XLOOKUP(Q131,'[1]Governance Dimension_Topics'!$C$3:$C$16,'[1]Governance Dimension_Topics'!$B$3:$B$16,"None",0)</f>
        <v>Development</v>
      </c>
      <c r="Q131" s="20" t="s">
        <v>93</v>
      </c>
      <c r="R131" s="6"/>
      <c r="S131" s="20"/>
      <c r="T131" s="6"/>
      <c r="U131" s="6"/>
      <c r="V131" s="6"/>
      <c r="W131" s="6"/>
      <c r="X131" s="6"/>
      <c r="Y131" s="6"/>
    </row>
    <row r="132" spans="1:25" ht="45" x14ac:dyDescent="0.25">
      <c r="A132" s="20" t="s">
        <v>278</v>
      </c>
      <c r="B132" s="21">
        <v>46066</v>
      </c>
      <c r="C132" s="20" t="s">
        <v>280</v>
      </c>
      <c r="D132" s="6" t="s">
        <v>266</v>
      </c>
      <c r="E132" s="20" t="s">
        <v>281</v>
      </c>
      <c r="F132" s="20" t="s">
        <v>34</v>
      </c>
      <c r="G132" s="20" t="s">
        <v>204</v>
      </c>
      <c r="H132" s="20" t="s">
        <v>282</v>
      </c>
      <c r="I132" s="20" t="s">
        <v>220</v>
      </c>
      <c r="J132" s="11"/>
      <c r="K132" s="20"/>
      <c r="L132" s="6" t="s">
        <v>171</v>
      </c>
      <c r="M132" s="6" t="s">
        <v>225</v>
      </c>
      <c r="N132" s="6" t="str">
        <f>_xlfn.XLOOKUP(O132,'[1]Governance Dimension_Topics'!$C$3:$C$16,'[1]Governance Dimension_Topics'!$B$3:$B$16,"None",0)</f>
        <v>Institutional</v>
      </c>
      <c r="O132" s="20" t="s">
        <v>37</v>
      </c>
      <c r="P132" s="6" t="str">
        <f>_xlfn.XLOOKUP(Q132,'[1]Governance Dimension_Topics'!$C$3:$C$16,'[1]Governance Dimension_Topics'!$B$3:$B$16,"None",0)</f>
        <v>Institutional</v>
      </c>
      <c r="Q132" s="20" t="s">
        <v>51</v>
      </c>
      <c r="R132" s="6" t="str">
        <f>_xlfn.XLOOKUP(S132,'[1]Governance Dimension_Topics'!$C$3:$C$16,'[1]Governance Dimension_Topics'!$B$3:$B$16,"None",0)</f>
        <v>Development</v>
      </c>
      <c r="S132" s="20" t="s">
        <v>111</v>
      </c>
      <c r="T132" s="6" t="str">
        <f>_xlfn.XLOOKUP(U132,'[1]Governance Dimension_Topics'!$C$3:$C$16,'[1]Governance Dimension_Topics'!$B$3:$B$16,"None",0)</f>
        <v>Economic</v>
      </c>
      <c r="U132" s="20" t="s">
        <v>35</v>
      </c>
      <c r="V132" s="6" t="str">
        <f>_xlfn.XLOOKUP(W132,'[1]Governance Dimension_Topics'!$C$3:$C$16,'[1]Governance Dimension_Topics'!$B$3:$B$16,"None",0)</f>
        <v>Regulatory</v>
      </c>
      <c r="W132" s="20" t="s">
        <v>157</v>
      </c>
      <c r="X132" s="20" t="s">
        <v>31</v>
      </c>
      <c r="Y132" s="6"/>
    </row>
    <row r="133" spans="1:25" x14ac:dyDescent="0.25">
      <c r="A133" s="20" t="s">
        <v>278</v>
      </c>
      <c r="B133" s="21">
        <v>46066</v>
      </c>
      <c r="C133" s="20" t="s">
        <v>280</v>
      </c>
      <c r="D133" s="6" t="s">
        <v>266</v>
      </c>
      <c r="E133" s="20" t="s">
        <v>24</v>
      </c>
      <c r="F133" s="20" t="s">
        <v>25</v>
      </c>
      <c r="G133" s="20" t="s">
        <v>204</v>
      </c>
      <c r="H133" s="20" t="s">
        <v>283</v>
      </c>
      <c r="I133" s="20" t="s">
        <v>220</v>
      </c>
      <c r="J133" s="20"/>
      <c r="K133" s="20"/>
      <c r="L133" s="6" t="s">
        <v>171</v>
      </c>
      <c r="M133" s="6" t="s">
        <v>225</v>
      </c>
      <c r="N133" s="6" t="str">
        <f>_xlfn.XLOOKUP(O133,'[1]Governance Dimension_Topics'!$C$3:$C$16,'[1]Governance Dimension_Topics'!$B$3:$B$16,"None",0)</f>
        <v>Development</v>
      </c>
      <c r="O133" s="20" t="s">
        <v>188</v>
      </c>
      <c r="P133" s="6" t="str">
        <f>_xlfn.XLOOKUP(Q133,'[1]Governance Dimension_Topics'!$C$3:$C$16,'[1]Governance Dimension_Topics'!$B$3:$B$16,"None",0)</f>
        <v>Institutional</v>
      </c>
      <c r="Q133" s="20" t="s">
        <v>51</v>
      </c>
      <c r="R133" s="6" t="str">
        <f>_xlfn.XLOOKUP(S133,'[1]Governance Dimension_Topics'!$C$3:$C$16,'[1]Governance Dimension_Topics'!$B$3:$B$16,"None",0)</f>
        <v>Political Economy</v>
      </c>
      <c r="S133" s="20" t="s">
        <v>29</v>
      </c>
      <c r="T133" s="6"/>
      <c r="U133" s="20"/>
      <c r="V133" s="6"/>
      <c r="W133" s="20"/>
      <c r="X133" s="20" t="s">
        <v>31</v>
      </c>
      <c r="Y133" s="6"/>
    </row>
    <row r="134" spans="1:25" x14ac:dyDescent="0.25">
      <c r="A134" s="20" t="s">
        <v>278</v>
      </c>
      <c r="B134" s="21">
        <v>46066</v>
      </c>
      <c r="C134" s="20" t="s">
        <v>280</v>
      </c>
      <c r="D134" s="6" t="s">
        <v>266</v>
      </c>
      <c r="E134" s="20" t="s">
        <v>72</v>
      </c>
      <c r="F134" s="20" t="s">
        <v>25</v>
      </c>
      <c r="G134" s="20" t="s">
        <v>204</v>
      </c>
      <c r="H134" s="20" t="s">
        <v>284</v>
      </c>
      <c r="I134" s="20" t="s">
        <v>220</v>
      </c>
      <c r="J134" s="20"/>
      <c r="K134" s="20"/>
      <c r="L134" s="6" t="s">
        <v>171</v>
      </c>
      <c r="M134" s="6" t="s">
        <v>225</v>
      </c>
      <c r="N134" s="6" t="str">
        <f>_xlfn.XLOOKUP(O134,'[1]Governance Dimension_Topics'!$C$3:$C$16,'[1]Governance Dimension_Topics'!$B$3:$B$16,"None",0)</f>
        <v>Institutional</v>
      </c>
      <c r="O134" s="20" t="s">
        <v>37</v>
      </c>
      <c r="P134" s="6" t="str">
        <f>_xlfn.XLOOKUP(Q134,'[1]Governance Dimension_Topics'!$C$3:$C$16,'[1]Governance Dimension_Topics'!$B$3:$B$16,"None",0)</f>
        <v>Development</v>
      </c>
      <c r="Q134" s="20" t="s">
        <v>93</v>
      </c>
      <c r="R134" s="6" t="str">
        <f>_xlfn.XLOOKUP(S134,'[1]Governance Dimension_Topics'!$C$3:$C$16,'[1]Governance Dimension_Topics'!$B$3:$B$16,"None",0)</f>
        <v>Institutional</v>
      </c>
      <c r="S134" s="20" t="s">
        <v>51</v>
      </c>
      <c r="T134" s="6"/>
      <c r="U134" s="20"/>
      <c r="V134" s="6"/>
      <c r="W134" s="20"/>
      <c r="X134" s="20" t="s">
        <v>31</v>
      </c>
      <c r="Y134" s="6"/>
    </row>
    <row r="135" spans="1:25" x14ac:dyDescent="0.25">
      <c r="A135" s="20" t="s">
        <v>278</v>
      </c>
      <c r="B135" s="21">
        <v>46066</v>
      </c>
      <c r="C135" s="20" t="s">
        <v>280</v>
      </c>
      <c r="D135" s="6" t="s">
        <v>266</v>
      </c>
      <c r="E135" s="20" t="s">
        <v>279</v>
      </c>
      <c r="F135" s="20" t="s">
        <v>25</v>
      </c>
      <c r="G135" s="20" t="s">
        <v>204</v>
      </c>
      <c r="H135" s="20" t="s">
        <v>285</v>
      </c>
      <c r="I135" s="20" t="s">
        <v>220</v>
      </c>
      <c r="J135" s="20"/>
      <c r="K135" s="20"/>
      <c r="L135" s="6" t="s">
        <v>171</v>
      </c>
      <c r="M135" s="6" t="s">
        <v>225</v>
      </c>
      <c r="N135" s="6" t="str">
        <f>_xlfn.XLOOKUP(O135,'[1]Governance Dimension_Topics'!$C$3:$C$16,'[1]Governance Dimension_Topics'!$B$3:$B$16,"None",0)</f>
        <v>Institutional</v>
      </c>
      <c r="O135" s="20" t="s">
        <v>37</v>
      </c>
      <c r="P135" s="6"/>
      <c r="Q135" s="20"/>
      <c r="R135" s="6"/>
      <c r="S135" s="20"/>
      <c r="T135" s="6"/>
      <c r="U135" s="20"/>
      <c r="V135" s="6"/>
      <c r="W135" s="20"/>
      <c r="X135" s="20" t="s">
        <v>48</v>
      </c>
      <c r="Y135" s="6"/>
    </row>
    <row r="136" spans="1:25" ht="15.75" x14ac:dyDescent="0.25">
      <c r="A136" s="20" t="s">
        <v>278</v>
      </c>
      <c r="B136" s="21">
        <v>46066</v>
      </c>
      <c r="C136" s="20" t="s">
        <v>280</v>
      </c>
      <c r="D136" s="6" t="s">
        <v>266</v>
      </c>
      <c r="E136" s="20" t="s">
        <v>184</v>
      </c>
      <c r="F136" s="20" t="s">
        <v>25</v>
      </c>
      <c r="G136" s="20" t="s">
        <v>204</v>
      </c>
      <c r="H136" s="20" t="s">
        <v>286</v>
      </c>
      <c r="I136" s="20" t="s">
        <v>220</v>
      </c>
      <c r="J136" s="11"/>
      <c r="K136" s="11"/>
      <c r="L136" s="6" t="s">
        <v>171</v>
      </c>
      <c r="M136" s="6" t="s">
        <v>225</v>
      </c>
      <c r="N136" s="6" t="str">
        <f>_xlfn.XLOOKUP(O136,'[1]Governance Dimension_Topics'!$C$3:$C$16,'[1]Governance Dimension_Topics'!$B$3:$B$16,"None",0)</f>
        <v>Development</v>
      </c>
      <c r="O136" s="20" t="s">
        <v>188</v>
      </c>
      <c r="P136" s="6" t="str">
        <f>_xlfn.XLOOKUP(Q136,'[1]Governance Dimension_Topics'!$C$3:$C$16,'[1]Governance Dimension_Topics'!$B$3:$B$16,"None",0)</f>
        <v>Regulatory</v>
      </c>
      <c r="Q136" s="20" t="s">
        <v>157</v>
      </c>
      <c r="R136" s="6" t="str">
        <f>_xlfn.XLOOKUP(S136,'[1]Governance Dimension_Topics'!$C$3:$C$16,'[1]Governance Dimension_Topics'!$B$3:$B$16,"None",0)</f>
        <v>Institutional</v>
      </c>
      <c r="S136" s="20" t="s">
        <v>37</v>
      </c>
      <c r="T136" s="6"/>
      <c r="U136" s="20"/>
      <c r="V136" s="6"/>
      <c r="W136" s="20"/>
      <c r="X136" s="20" t="s">
        <v>31</v>
      </c>
      <c r="Y136" s="6"/>
    </row>
    <row r="137" spans="1:25" x14ac:dyDescent="0.25">
      <c r="A137" s="20" t="s">
        <v>278</v>
      </c>
      <c r="B137" s="21">
        <v>46066</v>
      </c>
      <c r="C137" s="20" t="s">
        <v>280</v>
      </c>
      <c r="D137" s="6" t="s">
        <v>266</v>
      </c>
      <c r="E137" s="20" t="s">
        <v>287</v>
      </c>
      <c r="F137" s="20" t="s">
        <v>25</v>
      </c>
      <c r="G137" s="20" t="s">
        <v>204</v>
      </c>
      <c r="H137" s="20" t="s">
        <v>288</v>
      </c>
      <c r="I137" s="20" t="s">
        <v>220</v>
      </c>
      <c r="J137" s="20"/>
      <c r="K137" s="20"/>
      <c r="L137" s="6" t="s">
        <v>171</v>
      </c>
      <c r="M137" s="6" t="s">
        <v>225</v>
      </c>
      <c r="N137" s="6" t="str">
        <f>_xlfn.XLOOKUP(O137,'[1]Governance Dimension_Topics'!$C$3:$C$16,'[1]Governance Dimension_Topics'!$B$3:$B$16,"None",0)</f>
        <v>Institutional</v>
      </c>
      <c r="O137" s="20" t="s">
        <v>51</v>
      </c>
      <c r="P137" s="6" t="str">
        <f>_xlfn.XLOOKUP(Q137,'[1]Governance Dimension_Topics'!$C$3:$C$16,'[1]Governance Dimension_Topics'!$B$3:$B$16,"None",0)</f>
        <v>Institutional</v>
      </c>
      <c r="Q137" s="20" t="s">
        <v>37</v>
      </c>
      <c r="R137" s="6"/>
      <c r="S137" s="20"/>
      <c r="T137" s="6"/>
      <c r="U137" s="20"/>
      <c r="V137" s="6"/>
      <c r="W137" s="20"/>
      <c r="X137" s="20" t="s">
        <v>31</v>
      </c>
      <c r="Y137" s="6"/>
    </row>
    <row r="138" spans="1:25" ht="45" x14ac:dyDescent="0.25">
      <c r="A138" s="20" t="s">
        <v>278</v>
      </c>
      <c r="B138" s="21">
        <v>46066</v>
      </c>
      <c r="C138" s="20" t="s">
        <v>280</v>
      </c>
      <c r="D138" s="6" t="s">
        <v>266</v>
      </c>
      <c r="E138" s="20" t="s">
        <v>289</v>
      </c>
      <c r="F138" s="20" t="s">
        <v>34</v>
      </c>
      <c r="G138" s="20" t="s">
        <v>204</v>
      </c>
      <c r="H138" s="20" t="s">
        <v>290</v>
      </c>
      <c r="I138" s="20" t="s">
        <v>220</v>
      </c>
      <c r="J138" s="20" t="s">
        <v>205</v>
      </c>
      <c r="K138" s="6"/>
      <c r="L138" s="6" t="s">
        <v>171</v>
      </c>
      <c r="M138" s="6" t="s">
        <v>225</v>
      </c>
      <c r="N138" s="6" t="str">
        <f>_xlfn.XLOOKUP(O138,'[1]Governance Dimension_Topics'!$C$3:$C$16,'[1]Governance Dimension_Topics'!$B$3:$B$16,"None",0)</f>
        <v>Development</v>
      </c>
      <c r="O138" s="20" t="s">
        <v>93</v>
      </c>
      <c r="P138" s="6" t="str">
        <f>_xlfn.XLOOKUP(Q138,'[1]Governance Dimension_Topics'!$C$3:$C$16,'[1]Governance Dimension_Topics'!$B$3:$B$16,"None",0)</f>
        <v>Development</v>
      </c>
      <c r="Q138" s="20" t="s">
        <v>111</v>
      </c>
      <c r="R138" s="6" t="str">
        <f>_xlfn.XLOOKUP(S138,'[1]Governance Dimension_Topics'!$C$3:$C$16,'[1]Governance Dimension_Topics'!$B$3:$B$16,"None",0)</f>
        <v>Regulatory</v>
      </c>
      <c r="S138" s="20" t="s">
        <v>157</v>
      </c>
      <c r="T138" s="6" t="str">
        <f>_xlfn.XLOOKUP(U138,'[1]Governance Dimension_Topics'!$C$3:$C$16,'[1]Governance Dimension_Topics'!$B$3:$B$16,"None",0)</f>
        <v>Technical</v>
      </c>
      <c r="U138" s="20" t="s">
        <v>259</v>
      </c>
      <c r="V138" s="6" t="str">
        <f>_xlfn.XLOOKUP(W138,'[1]Governance Dimension_Topics'!$C$3:$C$16,'[1]Governance Dimension_Topics'!$B$3:$B$16,"None",0)</f>
        <v>Institutional</v>
      </c>
      <c r="W138" s="20" t="s">
        <v>37</v>
      </c>
      <c r="X138" s="20" t="s">
        <v>31</v>
      </c>
      <c r="Y138" s="6"/>
    </row>
    <row r="139" spans="1:25" ht="30" x14ac:dyDescent="0.25">
      <c r="A139" s="20" t="s">
        <v>278</v>
      </c>
      <c r="B139" s="21">
        <v>46066</v>
      </c>
      <c r="C139" s="20" t="s">
        <v>280</v>
      </c>
      <c r="D139" s="6" t="s">
        <v>266</v>
      </c>
      <c r="E139" s="20" t="s">
        <v>68</v>
      </c>
      <c r="F139" s="20" t="s">
        <v>25</v>
      </c>
      <c r="G139" s="20" t="s">
        <v>204</v>
      </c>
      <c r="H139" s="20" t="s">
        <v>291</v>
      </c>
      <c r="I139" s="20" t="s">
        <v>220</v>
      </c>
      <c r="J139" s="20" t="s">
        <v>205</v>
      </c>
      <c r="K139" s="6"/>
      <c r="L139" s="6" t="s">
        <v>171</v>
      </c>
      <c r="M139" s="6" t="s">
        <v>225</v>
      </c>
      <c r="N139" s="6" t="str">
        <f>_xlfn.XLOOKUP(O139,'[1]Governance Dimension_Topics'!$C$3:$C$16,'[1]Governance Dimension_Topics'!$B$3:$B$16,"None",0)</f>
        <v>Development</v>
      </c>
      <c r="O139" s="20" t="s">
        <v>188</v>
      </c>
      <c r="P139" s="6" t="str">
        <f>_xlfn.XLOOKUP(Q139,'[1]Governance Dimension_Topics'!$C$3:$C$16,'[1]Governance Dimension_Topics'!$B$3:$B$16,"None",0)</f>
        <v>Regulatory</v>
      </c>
      <c r="Q139" s="20" t="s">
        <v>157</v>
      </c>
      <c r="R139" s="6" t="str">
        <f>_xlfn.XLOOKUP(S139,'[1]Governance Dimension_Topics'!$C$3:$C$16,'[1]Governance Dimension_Topics'!$B$3:$B$16,"None",0)</f>
        <v>Political Economy</v>
      </c>
      <c r="S139" s="20" t="s">
        <v>29</v>
      </c>
      <c r="T139" s="6"/>
      <c r="U139" s="20"/>
      <c r="V139" s="6"/>
      <c r="W139" s="20"/>
      <c r="X139" s="20" t="s">
        <v>31</v>
      </c>
      <c r="Y139" s="6"/>
    </row>
    <row r="140" spans="1:25" x14ac:dyDescent="0.25">
      <c r="A140" s="20" t="s">
        <v>278</v>
      </c>
      <c r="B140" s="21">
        <v>46066</v>
      </c>
      <c r="C140" s="20" t="s">
        <v>280</v>
      </c>
      <c r="D140" s="6" t="s">
        <v>266</v>
      </c>
      <c r="E140" s="20" t="s">
        <v>33</v>
      </c>
      <c r="F140" s="20" t="s">
        <v>34</v>
      </c>
      <c r="G140" s="20" t="s">
        <v>204</v>
      </c>
      <c r="H140" s="20" t="s">
        <v>292</v>
      </c>
      <c r="I140" s="20" t="s">
        <v>220</v>
      </c>
      <c r="J140" s="20"/>
      <c r="K140" s="20"/>
      <c r="L140" s="6" t="s">
        <v>171</v>
      </c>
      <c r="M140" s="6" t="s">
        <v>225</v>
      </c>
      <c r="N140" s="6" t="str">
        <f>_xlfn.XLOOKUP(O140,'[1]Governance Dimension_Topics'!$C$3:$C$16,'[1]Governance Dimension_Topics'!$B$3:$B$16,"None",0)</f>
        <v>Institutional</v>
      </c>
      <c r="O140" s="20" t="s">
        <v>37</v>
      </c>
      <c r="P140" s="6" t="str">
        <f>_xlfn.XLOOKUP(Q140,'[1]Governance Dimension_Topics'!$C$3:$C$16,'[1]Governance Dimension_Topics'!$B$3:$B$16,"None",0)</f>
        <v>Development</v>
      </c>
      <c r="Q140" s="20" t="s">
        <v>93</v>
      </c>
      <c r="R140" s="6" t="str">
        <f>_xlfn.XLOOKUP(S140,'[1]Governance Dimension_Topics'!$C$3:$C$16,'[1]Governance Dimension_Topics'!$B$3:$B$16,"None",0)</f>
        <v>Economic</v>
      </c>
      <c r="S140" s="20" t="s">
        <v>35</v>
      </c>
      <c r="T140" s="6"/>
      <c r="U140" s="20"/>
      <c r="V140" s="6"/>
      <c r="W140" s="20"/>
      <c r="X140" s="20" t="s">
        <v>31</v>
      </c>
      <c r="Y140" s="6"/>
    </row>
    <row r="141" spans="1:25" ht="30" x14ac:dyDescent="0.25">
      <c r="A141" s="20" t="s">
        <v>278</v>
      </c>
      <c r="B141" s="21">
        <v>46066</v>
      </c>
      <c r="C141" s="20" t="s">
        <v>280</v>
      </c>
      <c r="D141" s="6" t="s">
        <v>266</v>
      </c>
      <c r="E141" s="20" t="s">
        <v>293</v>
      </c>
      <c r="F141" s="20" t="s">
        <v>55</v>
      </c>
      <c r="G141" s="20" t="s">
        <v>204</v>
      </c>
      <c r="H141" s="20" t="s">
        <v>294</v>
      </c>
      <c r="I141" s="20" t="s">
        <v>220</v>
      </c>
      <c r="J141" s="20" t="s">
        <v>205</v>
      </c>
      <c r="K141" s="20"/>
      <c r="L141" s="6" t="s">
        <v>171</v>
      </c>
      <c r="M141" s="6" t="s">
        <v>225</v>
      </c>
      <c r="N141" s="6" t="str">
        <f>_xlfn.XLOOKUP(O141,'[1]Governance Dimension_Topics'!$C$3:$C$16,'[1]Governance Dimension_Topics'!$B$3:$B$16,"None",0)</f>
        <v>Development</v>
      </c>
      <c r="O141" s="20" t="s">
        <v>93</v>
      </c>
      <c r="P141" s="6" t="str">
        <f>_xlfn.XLOOKUP(Q141,'[1]Governance Dimension_Topics'!$C$3:$C$16,'[1]Governance Dimension_Topics'!$B$3:$B$16,"None",0)</f>
        <v>Economic</v>
      </c>
      <c r="Q141" s="20" t="s">
        <v>35</v>
      </c>
      <c r="R141" s="6" t="str">
        <f>_xlfn.XLOOKUP(S141,'[1]Governance Dimension_Topics'!$C$3:$C$16,'[1]Governance Dimension_Topics'!$B$3:$B$16,"None",0)</f>
        <v>Institutional</v>
      </c>
      <c r="S141" s="20" t="s">
        <v>37</v>
      </c>
      <c r="T141" s="6" t="str">
        <f>_xlfn.XLOOKUP(U141,'[1]Governance Dimension_Topics'!$C$3:$C$16,'[1]Governance Dimension_Topics'!$B$3:$B$16,"None",0)</f>
        <v>Regulatory</v>
      </c>
      <c r="U141" s="20" t="s">
        <v>157</v>
      </c>
      <c r="V141" s="6"/>
      <c r="W141" s="20"/>
      <c r="X141" s="20" t="s">
        <v>31</v>
      </c>
      <c r="Y141" s="6"/>
    </row>
    <row r="142" spans="1:25" ht="75" x14ac:dyDescent="0.25">
      <c r="A142" s="20" t="s">
        <v>278</v>
      </c>
      <c r="B142" s="21">
        <v>46066</v>
      </c>
      <c r="C142" s="20" t="s">
        <v>280</v>
      </c>
      <c r="D142" s="6" t="s">
        <v>266</v>
      </c>
      <c r="E142" s="20" t="s">
        <v>295</v>
      </c>
      <c r="F142" s="20" t="s">
        <v>34</v>
      </c>
      <c r="G142" s="20" t="s">
        <v>204</v>
      </c>
      <c r="H142" s="20" t="s">
        <v>296</v>
      </c>
      <c r="I142" s="20" t="s">
        <v>220</v>
      </c>
      <c r="J142" s="20"/>
      <c r="K142" s="11"/>
      <c r="L142" s="6" t="s">
        <v>171</v>
      </c>
      <c r="M142" s="6" t="s">
        <v>225</v>
      </c>
      <c r="N142" s="6" t="str">
        <f>_xlfn.XLOOKUP(O142,'[1]Governance Dimension_Topics'!$C$3:$C$16,'[1]Governance Dimension_Topics'!$B$3:$B$16,"None",0)</f>
        <v>Development</v>
      </c>
      <c r="O142" s="20" t="s">
        <v>93</v>
      </c>
      <c r="P142" s="6" t="str">
        <f>_xlfn.XLOOKUP(Q142,'[1]Governance Dimension_Topics'!$C$3:$C$16,'[1]Governance Dimension_Topics'!$B$3:$B$16,"None",0)</f>
        <v>Development</v>
      </c>
      <c r="Q142" s="20" t="s">
        <v>111</v>
      </c>
      <c r="R142" s="6" t="str">
        <f>_xlfn.XLOOKUP(S142,'[1]Governance Dimension_Topics'!$C$3:$C$16,'[1]Governance Dimension_Topics'!$B$3:$B$16,"None",0)</f>
        <v>Economic</v>
      </c>
      <c r="S142" s="20" t="s">
        <v>35</v>
      </c>
      <c r="T142" s="6" t="str">
        <f>_xlfn.XLOOKUP(U142,'[1]Governance Dimension_Topics'!$C$3:$C$16,'[1]Governance Dimension_Topics'!$B$3:$B$16,"None",0)</f>
        <v>Institutional</v>
      </c>
      <c r="U142" s="20" t="s">
        <v>37</v>
      </c>
      <c r="V142" s="6" t="str">
        <f>_xlfn.XLOOKUP(W142,'[1]Governance Dimension_Topics'!$C$3:$C$16,'[1]Governance Dimension_Topics'!$B$3:$B$16,"None",0)</f>
        <v>Legal</v>
      </c>
      <c r="W142" s="20" t="s">
        <v>39</v>
      </c>
      <c r="X142" s="20" t="s">
        <v>31</v>
      </c>
      <c r="Y142" s="6"/>
    </row>
    <row r="143" spans="1:25" ht="15.75" x14ac:dyDescent="0.25">
      <c r="A143" s="20" t="s">
        <v>278</v>
      </c>
      <c r="B143" s="21">
        <v>46066</v>
      </c>
      <c r="C143" s="20" t="s">
        <v>280</v>
      </c>
      <c r="D143" s="6" t="s">
        <v>266</v>
      </c>
      <c r="E143" s="20" t="s">
        <v>297</v>
      </c>
      <c r="F143" s="20" t="s">
        <v>34</v>
      </c>
      <c r="G143" s="20" t="s">
        <v>204</v>
      </c>
      <c r="H143" s="20" t="s">
        <v>298</v>
      </c>
      <c r="I143" s="20" t="s">
        <v>220</v>
      </c>
      <c r="J143" s="11"/>
      <c r="K143" s="20"/>
      <c r="L143" s="6" t="s">
        <v>171</v>
      </c>
      <c r="M143" s="6" t="s">
        <v>225</v>
      </c>
      <c r="N143" s="6" t="str">
        <f>_xlfn.XLOOKUP(O143,'[1]Governance Dimension_Topics'!$C$3:$C$16,'[1]Governance Dimension_Topics'!$B$3:$B$16,"None",0)</f>
        <v>Regulatory</v>
      </c>
      <c r="O143" s="20" t="s">
        <v>157</v>
      </c>
      <c r="P143" s="6" t="str">
        <f>_xlfn.XLOOKUP(Q143,'[1]Governance Dimension_Topics'!$C$3:$C$16,'[1]Governance Dimension_Topics'!$B$3:$B$16,"None",0)</f>
        <v>Economic</v>
      </c>
      <c r="Q143" s="20" t="s">
        <v>35</v>
      </c>
      <c r="R143" s="6" t="str">
        <f>_xlfn.XLOOKUP(S143,'[1]Governance Dimension_Topics'!$C$3:$C$16,'[1]Governance Dimension_Topics'!$B$3:$B$16,"None",0)</f>
        <v>Legal</v>
      </c>
      <c r="S143" s="20" t="s">
        <v>94</v>
      </c>
      <c r="T143" s="6" t="str">
        <f>_xlfn.XLOOKUP(U143,'[1]Governance Dimension_Topics'!$C$3:$C$16,'[1]Governance Dimension_Topics'!$B$3:$B$16,"None",0)</f>
        <v>Institutional</v>
      </c>
      <c r="U143" s="20" t="s">
        <v>37</v>
      </c>
      <c r="V143" s="6"/>
      <c r="W143" s="20"/>
      <c r="X143" s="20" t="s">
        <v>31</v>
      </c>
      <c r="Y143" s="6"/>
    </row>
    <row r="144" spans="1:25" x14ac:dyDescent="0.25">
      <c r="A144" s="20" t="s">
        <v>278</v>
      </c>
      <c r="B144" s="21">
        <v>46066</v>
      </c>
      <c r="C144" s="20" t="s">
        <v>280</v>
      </c>
      <c r="D144" s="6" t="s">
        <v>266</v>
      </c>
      <c r="E144" s="20" t="s">
        <v>299</v>
      </c>
      <c r="F144" s="20" t="s">
        <v>34</v>
      </c>
      <c r="G144" s="20" t="s">
        <v>204</v>
      </c>
      <c r="H144" s="20" t="s">
        <v>300</v>
      </c>
      <c r="I144" s="20" t="s">
        <v>220</v>
      </c>
      <c r="J144" s="20"/>
      <c r="K144" s="20"/>
      <c r="L144" s="6" t="s">
        <v>171</v>
      </c>
      <c r="M144" s="6" t="s">
        <v>225</v>
      </c>
      <c r="N144" s="6" t="str">
        <f>_xlfn.XLOOKUP(O144,'[1]Governance Dimension_Topics'!$C$3:$C$16,'[1]Governance Dimension_Topics'!$B$3:$B$16,"None",0)</f>
        <v>Economic</v>
      </c>
      <c r="O144" s="20" t="s">
        <v>35</v>
      </c>
      <c r="P144" s="6" t="str">
        <f>_xlfn.XLOOKUP(Q144,'[1]Governance Dimension_Topics'!$C$3:$C$16,'[1]Governance Dimension_Topics'!$B$3:$B$16,"None",0)</f>
        <v>Legal</v>
      </c>
      <c r="Q144" s="20" t="s">
        <v>94</v>
      </c>
      <c r="R144" s="6" t="str">
        <f>_xlfn.XLOOKUP(S144,'[1]Governance Dimension_Topics'!$C$3:$C$16,'[1]Governance Dimension_Topics'!$B$3:$B$16,"None",0)</f>
        <v>Institutional</v>
      </c>
      <c r="S144" s="20" t="s">
        <v>37</v>
      </c>
      <c r="T144" s="6"/>
      <c r="U144" s="20"/>
      <c r="V144" s="6"/>
      <c r="W144" s="20"/>
      <c r="X144" s="20" t="s">
        <v>31</v>
      </c>
      <c r="Y144" s="6"/>
    </row>
    <row r="145" spans="1:25" x14ac:dyDescent="0.25">
      <c r="A145" s="20" t="s">
        <v>278</v>
      </c>
      <c r="B145" s="21">
        <v>46066</v>
      </c>
      <c r="C145" s="20" t="s">
        <v>280</v>
      </c>
      <c r="D145" s="6" t="s">
        <v>266</v>
      </c>
      <c r="E145" s="20" t="s">
        <v>301</v>
      </c>
      <c r="F145" s="20" t="s">
        <v>34</v>
      </c>
      <c r="G145" s="20" t="s">
        <v>204</v>
      </c>
      <c r="H145" s="20" t="s">
        <v>302</v>
      </c>
      <c r="I145" s="20" t="s">
        <v>220</v>
      </c>
      <c r="J145" s="20"/>
      <c r="K145" s="20"/>
      <c r="L145" s="6" t="s">
        <v>171</v>
      </c>
      <c r="M145" s="6" t="s">
        <v>225</v>
      </c>
      <c r="N145" s="6" t="str">
        <f>_xlfn.XLOOKUP(O145,'[1]Governance Dimension_Topics'!$C$3:$C$16,'[1]Governance Dimension_Topics'!$B$3:$B$16,"None",0)</f>
        <v>Institutional</v>
      </c>
      <c r="O145" s="20" t="s">
        <v>51</v>
      </c>
      <c r="P145" s="6" t="str">
        <f>_xlfn.XLOOKUP(Q145,'[1]Governance Dimension_Topics'!$C$3:$C$16,'[1]Governance Dimension_Topics'!$B$3:$B$16,"None",0)</f>
        <v>Regulatory</v>
      </c>
      <c r="Q145" s="20" t="s">
        <v>157</v>
      </c>
      <c r="R145" s="6" t="str">
        <f>_xlfn.XLOOKUP(S145,'[1]Governance Dimension_Topics'!$C$3:$C$16,'[1]Governance Dimension_Topics'!$B$3:$B$16,"None",0)</f>
        <v>Legal</v>
      </c>
      <c r="S145" s="20" t="s">
        <v>94</v>
      </c>
      <c r="T145" s="6" t="str">
        <f>_xlfn.XLOOKUP(U145,'[1]Governance Dimension_Topics'!$C$3:$C$16,'[1]Governance Dimension_Topics'!$B$3:$B$16,"None",0)</f>
        <v>Economic</v>
      </c>
      <c r="U145" s="20" t="s">
        <v>35</v>
      </c>
      <c r="V145" s="6"/>
      <c r="W145" s="20"/>
      <c r="X145" s="20" t="s">
        <v>31</v>
      </c>
      <c r="Y145" s="6"/>
    </row>
    <row r="146" spans="1:25" ht="30" x14ac:dyDescent="0.25">
      <c r="A146" s="20" t="s">
        <v>278</v>
      </c>
      <c r="B146" s="21">
        <v>46066</v>
      </c>
      <c r="C146" s="20" t="s">
        <v>280</v>
      </c>
      <c r="D146" s="6" t="s">
        <v>266</v>
      </c>
      <c r="E146" s="20" t="s">
        <v>179</v>
      </c>
      <c r="F146" s="20" t="s">
        <v>34</v>
      </c>
      <c r="G146" s="20" t="s">
        <v>204</v>
      </c>
      <c r="H146" s="20" t="s">
        <v>303</v>
      </c>
      <c r="I146" s="20" t="s">
        <v>220</v>
      </c>
      <c r="J146" s="20"/>
      <c r="K146" s="20"/>
      <c r="L146" s="6" t="s">
        <v>171</v>
      </c>
      <c r="M146" s="6" t="s">
        <v>225</v>
      </c>
      <c r="N146" s="6" t="str">
        <f>_xlfn.XLOOKUP(O146,'[1]Governance Dimension_Topics'!$C$3:$C$16,'[1]Governance Dimension_Topics'!$B$3:$B$16,"None",0)</f>
        <v>Economic</v>
      </c>
      <c r="O146" s="20" t="s">
        <v>35</v>
      </c>
      <c r="P146" s="6" t="str">
        <f>_xlfn.XLOOKUP(Q146,'[1]Governance Dimension_Topics'!$C$3:$C$16,'[1]Governance Dimension_Topics'!$B$3:$B$16,"None",0)</f>
        <v>Legal</v>
      </c>
      <c r="Q146" s="20" t="s">
        <v>94</v>
      </c>
      <c r="R146" s="6" t="str">
        <f>_xlfn.XLOOKUP(S146,'[1]Governance Dimension_Topics'!$C$3:$C$16,'[1]Governance Dimension_Topics'!$B$3:$B$16,"None",0)</f>
        <v>Institutional</v>
      </c>
      <c r="S146" s="20" t="s">
        <v>51</v>
      </c>
      <c r="T146" s="6" t="str">
        <f>_xlfn.XLOOKUP(U146,'[1]Governance Dimension_Topics'!$C$3:$C$16,'[1]Governance Dimension_Topics'!$B$3:$B$16,"None",0)</f>
        <v>Political Economy</v>
      </c>
      <c r="U146" s="20" t="s">
        <v>29</v>
      </c>
      <c r="V146" s="6"/>
      <c r="W146" s="20"/>
      <c r="X146" s="20" t="s">
        <v>31</v>
      </c>
      <c r="Y146" s="6"/>
    </row>
    <row r="147" spans="1:25" x14ac:dyDescent="0.25">
      <c r="A147" s="20" t="s">
        <v>278</v>
      </c>
      <c r="B147" s="21">
        <v>46066</v>
      </c>
      <c r="C147" s="20" t="s">
        <v>280</v>
      </c>
      <c r="D147" s="6" t="s">
        <v>266</v>
      </c>
      <c r="E147" s="20" t="s">
        <v>42</v>
      </c>
      <c r="F147" s="20" t="s">
        <v>34</v>
      </c>
      <c r="G147" s="20" t="s">
        <v>204</v>
      </c>
      <c r="H147" s="20" t="s">
        <v>304</v>
      </c>
      <c r="I147" s="20" t="s">
        <v>220</v>
      </c>
      <c r="J147" s="20"/>
      <c r="K147" s="20"/>
      <c r="L147" s="6" t="s">
        <v>171</v>
      </c>
      <c r="M147" s="6" t="s">
        <v>225</v>
      </c>
      <c r="N147" s="6" t="str">
        <f>_xlfn.XLOOKUP(O147,'[1]Governance Dimension_Topics'!$C$3:$C$16,'[1]Governance Dimension_Topics'!$B$3:$B$16,"None",0)</f>
        <v>Legal</v>
      </c>
      <c r="O147" s="20" t="s">
        <v>39</v>
      </c>
      <c r="P147" s="6" t="str">
        <f>_xlfn.XLOOKUP(Q147,'[1]Governance Dimension_Topics'!$C$3:$C$16,'[1]Governance Dimension_Topics'!$B$3:$B$16,"None",0)</f>
        <v>Institutional</v>
      </c>
      <c r="Q147" s="20" t="s">
        <v>51</v>
      </c>
      <c r="R147" s="6" t="str">
        <f>_xlfn.XLOOKUP(S147,'[1]Governance Dimension_Topics'!$C$3:$C$16,'[1]Governance Dimension_Topics'!$B$3:$B$16,"None",0)</f>
        <v>Development</v>
      </c>
      <c r="S147" s="20" t="s">
        <v>93</v>
      </c>
      <c r="T147" s="6" t="str">
        <f>_xlfn.XLOOKUP(U147,'[1]Governance Dimension_Topics'!$C$3:$C$16,'[1]Governance Dimension_Topics'!$B$3:$B$16,"None",0)</f>
        <v>Economic</v>
      </c>
      <c r="U147" s="20" t="s">
        <v>35</v>
      </c>
      <c r="V147" s="6"/>
      <c r="W147" s="20"/>
      <c r="X147" s="20" t="s">
        <v>31</v>
      </c>
      <c r="Y147" s="6"/>
    </row>
    <row r="148" spans="1:25" ht="15.75" x14ac:dyDescent="0.25">
      <c r="A148" s="20" t="s">
        <v>278</v>
      </c>
      <c r="B148" s="21">
        <v>46066</v>
      </c>
      <c r="C148" s="20" t="s">
        <v>280</v>
      </c>
      <c r="D148" s="6" t="s">
        <v>266</v>
      </c>
      <c r="E148" s="20" t="s">
        <v>181</v>
      </c>
      <c r="F148" s="20" t="s">
        <v>34</v>
      </c>
      <c r="G148" s="20" t="s">
        <v>204</v>
      </c>
      <c r="H148" s="20" t="s">
        <v>305</v>
      </c>
      <c r="I148" s="20" t="s">
        <v>220</v>
      </c>
      <c r="J148" s="11"/>
      <c r="K148" s="20"/>
      <c r="L148" s="6" t="s">
        <v>171</v>
      </c>
      <c r="M148" s="6" t="s">
        <v>225</v>
      </c>
      <c r="N148" s="6" t="str">
        <f>_xlfn.XLOOKUP(O148,'[1]Governance Dimension_Topics'!$C$3:$C$16,'[1]Governance Dimension_Topics'!$B$3:$B$16,"None",0)</f>
        <v>Legal</v>
      </c>
      <c r="O148" s="20" t="s">
        <v>94</v>
      </c>
      <c r="P148" s="6" t="str">
        <f>_xlfn.XLOOKUP(Q148,'[1]Governance Dimension_Topics'!$C$3:$C$16,'[1]Governance Dimension_Topics'!$B$3:$B$16,"None",0)</f>
        <v>Economic</v>
      </c>
      <c r="Q148" s="20" t="s">
        <v>35</v>
      </c>
      <c r="R148" s="6" t="str">
        <f>_xlfn.XLOOKUP(S148,'[1]Governance Dimension_Topics'!$C$3:$C$16,'[1]Governance Dimension_Topics'!$B$3:$B$16,"None",0)</f>
        <v>Institutional</v>
      </c>
      <c r="S148" s="20" t="s">
        <v>37</v>
      </c>
      <c r="T148" s="6" t="str">
        <f>_xlfn.XLOOKUP(U148,'[1]Governance Dimension_Topics'!$C$3:$C$16,'[1]Governance Dimension_Topics'!$B$3:$B$16,"None",0)</f>
        <v>Development</v>
      </c>
      <c r="U148" s="20" t="s">
        <v>93</v>
      </c>
      <c r="V148" s="6"/>
      <c r="W148" s="20"/>
      <c r="X148" s="20" t="s">
        <v>31</v>
      </c>
      <c r="Y148" s="6"/>
    </row>
    <row r="149" spans="1:25" x14ac:dyDescent="0.25">
      <c r="A149" s="20" t="s">
        <v>278</v>
      </c>
      <c r="B149" s="21">
        <v>46066</v>
      </c>
      <c r="C149" s="20" t="s">
        <v>280</v>
      </c>
      <c r="D149" s="6" t="s">
        <v>266</v>
      </c>
      <c r="E149" s="20" t="s">
        <v>306</v>
      </c>
      <c r="F149" s="20" t="s">
        <v>34</v>
      </c>
      <c r="G149" s="20" t="s">
        <v>204</v>
      </c>
      <c r="H149" s="20" t="s">
        <v>307</v>
      </c>
      <c r="I149" s="20" t="s">
        <v>220</v>
      </c>
      <c r="J149" s="20"/>
      <c r="K149" s="20"/>
      <c r="L149" s="6" t="s">
        <v>171</v>
      </c>
      <c r="M149" s="6" t="s">
        <v>225</v>
      </c>
      <c r="N149" s="6" t="str">
        <f>_xlfn.XLOOKUP(O149,'[1]Governance Dimension_Topics'!$C$3:$C$16,'[1]Governance Dimension_Topics'!$B$3:$B$16,"None",0)</f>
        <v>Economic</v>
      </c>
      <c r="O149" s="20" t="s">
        <v>35</v>
      </c>
      <c r="P149" s="6" t="str">
        <f>_xlfn.XLOOKUP(Q149,'[1]Governance Dimension_Topics'!$C$3:$C$16,'[1]Governance Dimension_Topics'!$B$3:$B$16,"None",0)</f>
        <v>Political Economy</v>
      </c>
      <c r="Q149" s="20" t="s">
        <v>29</v>
      </c>
      <c r="R149" s="6" t="str">
        <f>_xlfn.XLOOKUP(S149,'[1]Governance Dimension_Topics'!$C$3:$C$16,'[1]Governance Dimension_Topics'!$B$3:$B$16,"None",0)</f>
        <v>Institutional</v>
      </c>
      <c r="S149" s="20" t="s">
        <v>51</v>
      </c>
      <c r="T149" s="6" t="str">
        <f>_xlfn.XLOOKUP(U149,'[1]Governance Dimension_Topics'!$C$3:$C$16,'[1]Governance Dimension_Topics'!$B$3:$B$16,"None",0)</f>
        <v>Legal</v>
      </c>
      <c r="U149" s="20" t="s">
        <v>94</v>
      </c>
      <c r="V149" s="6"/>
      <c r="W149" s="20"/>
      <c r="X149" s="20" t="s">
        <v>31</v>
      </c>
      <c r="Y149" s="6"/>
    </row>
    <row r="150" spans="1:25" x14ac:dyDescent="0.25">
      <c r="A150" s="20" t="s">
        <v>278</v>
      </c>
      <c r="B150" s="21">
        <v>46066</v>
      </c>
      <c r="C150" s="20" t="s">
        <v>280</v>
      </c>
      <c r="D150" s="6" t="s">
        <v>266</v>
      </c>
      <c r="E150" s="20" t="s">
        <v>74</v>
      </c>
      <c r="F150" s="20" t="s">
        <v>34</v>
      </c>
      <c r="G150" s="20" t="s">
        <v>204</v>
      </c>
      <c r="H150" s="20" t="s">
        <v>308</v>
      </c>
      <c r="I150" s="20" t="s">
        <v>220</v>
      </c>
      <c r="J150" s="20"/>
      <c r="K150" s="20"/>
      <c r="L150" s="6" t="s">
        <v>171</v>
      </c>
      <c r="M150" s="6" t="s">
        <v>225</v>
      </c>
      <c r="N150" s="6" t="str">
        <f>_xlfn.XLOOKUP(O150,'[1]Governance Dimension_Topics'!$C$3:$C$16,'[1]Governance Dimension_Topics'!$B$3:$B$16,"None",0)</f>
        <v>Institutional</v>
      </c>
      <c r="O150" s="20" t="s">
        <v>51</v>
      </c>
      <c r="P150" s="6" t="str">
        <f>_xlfn.XLOOKUP(Q150,'[1]Governance Dimension_Topics'!$C$3:$C$16,'[1]Governance Dimension_Topics'!$B$3:$B$16,"None",0)</f>
        <v>Institutional</v>
      </c>
      <c r="Q150" s="20" t="s">
        <v>37</v>
      </c>
      <c r="R150" s="6"/>
      <c r="S150" s="20"/>
      <c r="T150" s="6"/>
      <c r="U150" s="20"/>
      <c r="V150" s="6"/>
      <c r="W150" s="20"/>
      <c r="X150" s="20" t="s">
        <v>31</v>
      </c>
      <c r="Y150" s="6"/>
    </row>
    <row r="151" spans="1:25" x14ac:dyDescent="0.25">
      <c r="A151" s="20" t="s">
        <v>278</v>
      </c>
      <c r="B151" s="21">
        <v>46066</v>
      </c>
      <c r="C151" s="20" t="s">
        <v>280</v>
      </c>
      <c r="D151" s="6" t="s">
        <v>266</v>
      </c>
      <c r="E151" s="20" t="s">
        <v>309</v>
      </c>
      <c r="F151" s="20" t="s">
        <v>34</v>
      </c>
      <c r="G151" s="20" t="s">
        <v>204</v>
      </c>
      <c r="H151" s="20" t="s">
        <v>310</v>
      </c>
      <c r="I151" s="20" t="s">
        <v>220</v>
      </c>
      <c r="J151" s="20"/>
      <c r="K151" s="20"/>
      <c r="L151" s="6" t="s">
        <v>171</v>
      </c>
      <c r="M151" s="6" t="s">
        <v>225</v>
      </c>
      <c r="N151" s="6" t="str">
        <f>_xlfn.XLOOKUP(O151,'[1]Governance Dimension_Topics'!$C$3:$C$16,'[1]Governance Dimension_Topics'!$B$3:$B$16,"None",0)</f>
        <v>Legal</v>
      </c>
      <c r="O151" s="20" t="s">
        <v>39</v>
      </c>
      <c r="P151" s="6" t="str">
        <f>_xlfn.XLOOKUP(Q151,'[1]Governance Dimension_Topics'!$C$3:$C$16,'[1]Governance Dimension_Topics'!$B$3:$B$16,"None",0)</f>
        <v>Legal</v>
      </c>
      <c r="Q151" s="20" t="s">
        <v>94</v>
      </c>
      <c r="R151" s="6" t="str">
        <f>_xlfn.XLOOKUP(S151,'[1]Governance Dimension_Topics'!$C$3:$C$16,'[1]Governance Dimension_Topics'!$B$3:$B$16,"None",0)</f>
        <v>Economic</v>
      </c>
      <c r="S151" s="20" t="s">
        <v>35</v>
      </c>
      <c r="T151" s="6" t="str">
        <f>_xlfn.XLOOKUP(U151,'[1]Governance Dimension_Topics'!$C$3:$C$16,'[1]Governance Dimension_Topics'!$B$3:$B$16,"None",0)</f>
        <v>Institutional</v>
      </c>
      <c r="U151" s="20" t="s">
        <v>51</v>
      </c>
      <c r="V151" s="6"/>
      <c r="W151" s="20"/>
      <c r="X151" s="20" t="s">
        <v>31</v>
      </c>
      <c r="Y151" s="6"/>
    </row>
    <row r="152" spans="1:25" x14ac:dyDescent="0.25">
      <c r="A152" s="20" t="s">
        <v>278</v>
      </c>
      <c r="B152" s="21">
        <v>46066</v>
      </c>
      <c r="C152" s="20" t="s">
        <v>280</v>
      </c>
      <c r="D152" s="6" t="s">
        <v>266</v>
      </c>
      <c r="E152" s="20" t="s">
        <v>86</v>
      </c>
      <c r="F152" s="20" t="s">
        <v>34</v>
      </c>
      <c r="G152" s="20" t="s">
        <v>204</v>
      </c>
      <c r="H152" s="20" t="s">
        <v>311</v>
      </c>
      <c r="I152" s="20" t="s">
        <v>220</v>
      </c>
      <c r="J152" s="20"/>
      <c r="K152" s="20"/>
      <c r="L152" s="6" t="s">
        <v>171</v>
      </c>
      <c r="M152" s="6" t="s">
        <v>225</v>
      </c>
      <c r="N152" s="6" t="str">
        <f>_xlfn.XLOOKUP(O152,'[1]Governance Dimension_Topics'!$C$3:$C$16,'[1]Governance Dimension_Topics'!$B$3:$B$16,"None",0)</f>
        <v>Economic</v>
      </c>
      <c r="O152" s="20" t="s">
        <v>35</v>
      </c>
      <c r="P152" s="6" t="str">
        <f>_xlfn.XLOOKUP(Q152,'[1]Governance Dimension_Topics'!$C$3:$C$16,'[1]Governance Dimension_Topics'!$B$3:$B$16,"None",0)</f>
        <v>Legal</v>
      </c>
      <c r="Q152" s="20" t="s">
        <v>94</v>
      </c>
      <c r="R152" s="6" t="str">
        <f>_xlfn.XLOOKUP(S152,'[1]Governance Dimension_Topics'!$C$3:$C$16,'[1]Governance Dimension_Topics'!$B$3:$B$16,"None",0)</f>
        <v>Institutional</v>
      </c>
      <c r="S152" s="20" t="s">
        <v>51</v>
      </c>
      <c r="T152" s="6" t="str">
        <f>_xlfn.XLOOKUP(U152,'[1]Governance Dimension_Topics'!$C$3:$C$16,'[1]Governance Dimension_Topics'!$B$3:$B$16,"None",0)</f>
        <v>Development</v>
      </c>
      <c r="U152" s="20" t="s">
        <v>93</v>
      </c>
      <c r="V152" s="6"/>
      <c r="W152" s="20"/>
      <c r="X152" s="20" t="s">
        <v>31</v>
      </c>
      <c r="Y152" s="6"/>
    </row>
    <row r="153" spans="1:25" ht="45" x14ac:dyDescent="0.25">
      <c r="A153" s="20" t="s">
        <v>278</v>
      </c>
      <c r="B153" s="21">
        <v>46066</v>
      </c>
      <c r="C153" s="20" t="s">
        <v>280</v>
      </c>
      <c r="D153" s="6" t="s">
        <v>266</v>
      </c>
      <c r="E153" s="20" t="s">
        <v>312</v>
      </c>
      <c r="F153" s="20" t="s">
        <v>34</v>
      </c>
      <c r="G153" s="20" t="s">
        <v>204</v>
      </c>
      <c r="H153" s="20" t="s">
        <v>313</v>
      </c>
      <c r="I153" s="20" t="s">
        <v>220</v>
      </c>
      <c r="J153" s="11"/>
      <c r="K153" s="20"/>
      <c r="L153" s="6" t="s">
        <v>171</v>
      </c>
      <c r="M153" s="6" t="s">
        <v>225</v>
      </c>
      <c r="N153" s="6" t="str">
        <f>_xlfn.XLOOKUP(O153,'[1]Governance Dimension_Topics'!$C$3:$C$16,'[1]Governance Dimension_Topics'!$B$3:$B$16,"None",0)</f>
        <v>Development</v>
      </c>
      <c r="O153" s="20" t="s">
        <v>111</v>
      </c>
      <c r="P153" s="6" t="str">
        <f>_xlfn.XLOOKUP(Q153,'[1]Governance Dimension_Topics'!$C$3:$C$16,'[1]Governance Dimension_Topics'!$B$3:$B$16,"None",0)</f>
        <v>Development</v>
      </c>
      <c r="Q153" s="20" t="s">
        <v>93</v>
      </c>
      <c r="R153" s="6" t="str">
        <f>_xlfn.XLOOKUP(S153,'[1]Governance Dimension_Topics'!$C$3:$C$16,'[1]Governance Dimension_Topics'!$B$3:$B$16,"None",0)</f>
        <v>Economic</v>
      </c>
      <c r="S153" s="20" t="s">
        <v>35</v>
      </c>
      <c r="T153" s="6" t="str">
        <f>_xlfn.XLOOKUP(U153,'[1]Governance Dimension_Topics'!$C$3:$C$16,'[1]Governance Dimension_Topics'!$B$3:$B$16,"None",0)</f>
        <v>Legal</v>
      </c>
      <c r="U153" s="20" t="s">
        <v>94</v>
      </c>
      <c r="V153" s="6" t="str">
        <f>_xlfn.XLOOKUP(W153,'[1]Governance Dimension_Topics'!$C$3:$C$16,'[1]Governance Dimension_Topics'!$B$3:$B$16,"None",0)</f>
        <v>Institutional</v>
      </c>
      <c r="W153" s="20" t="s">
        <v>37</v>
      </c>
      <c r="X153" s="20" t="s">
        <v>31</v>
      </c>
      <c r="Y153" s="6"/>
    </row>
    <row r="154" spans="1:25" x14ac:dyDescent="0.25">
      <c r="A154" s="20" t="s">
        <v>278</v>
      </c>
      <c r="B154" s="21">
        <v>46066</v>
      </c>
      <c r="C154" s="20" t="s">
        <v>280</v>
      </c>
      <c r="D154" s="6" t="s">
        <v>266</v>
      </c>
      <c r="E154" s="20" t="s">
        <v>314</v>
      </c>
      <c r="F154" s="20" t="s">
        <v>34</v>
      </c>
      <c r="G154" s="20" t="s">
        <v>204</v>
      </c>
      <c r="H154" s="20" t="s">
        <v>315</v>
      </c>
      <c r="I154" s="20" t="s">
        <v>220</v>
      </c>
      <c r="J154" s="20"/>
      <c r="K154" s="20"/>
      <c r="L154" s="6" t="s">
        <v>171</v>
      </c>
      <c r="M154" s="6" t="s">
        <v>225</v>
      </c>
      <c r="N154" s="6" t="str">
        <f>_xlfn.XLOOKUP(O154,'[1]Governance Dimension_Topics'!$C$3:$C$16,'[1]Governance Dimension_Topics'!$B$3:$B$16,"None",0)</f>
        <v>Development</v>
      </c>
      <c r="O154" s="20" t="s">
        <v>93</v>
      </c>
      <c r="P154" s="6" t="str">
        <f>_xlfn.XLOOKUP(Q154,'[1]Governance Dimension_Topics'!$C$3:$C$16,'[1]Governance Dimension_Topics'!$B$3:$B$16,"None",0)</f>
        <v>Development</v>
      </c>
      <c r="Q154" s="20" t="s">
        <v>111</v>
      </c>
      <c r="R154" s="6" t="str">
        <f>_xlfn.XLOOKUP(S154,'[1]Governance Dimension_Topics'!$C$3:$C$16,'[1]Governance Dimension_Topics'!$B$3:$B$16,"None",0)</f>
        <v>Institutional</v>
      </c>
      <c r="S154" s="20" t="s">
        <v>37</v>
      </c>
      <c r="T154" s="6" t="str">
        <f>_xlfn.XLOOKUP(U154,'[1]Governance Dimension_Topics'!$C$3:$C$16,'[1]Governance Dimension_Topics'!$B$3:$B$16,"None",0)</f>
        <v>Economic</v>
      </c>
      <c r="U154" s="20" t="s">
        <v>35</v>
      </c>
      <c r="V154" s="6"/>
      <c r="W154" s="20"/>
      <c r="X154" s="20" t="s">
        <v>31</v>
      </c>
      <c r="Y154" s="6"/>
    </row>
    <row r="155" spans="1:25" x14ac:dyDescent="0.25">
      <c r="A155" s="20" t="s">
        <v>278</v>
      </c>
      <c r="B155" s="21">
        <v>46066</v>
      </c>
      <c r="C155" s="20" t="s">
        <v>280</v>
      </c>
      <c r="D155" s="6" t="s">
        <v>266</v>
      </c>
      <c r="E155" s="20" t="s">
        <v>64</v>
      </c>
      <c r="F155" s="20" t="s">
        <v>34</v>
      </c>
      <c r="G155" s="20" t="s">
        <v>204</v>
      </c>
      <c r="H155" s="20" t="s">
        <v>316</v>
      </c>
      <c r="I155" s="20" t="s">
        <v>220</v>
      </c>
      <c r="J155" s="20"/>
      <c r="K155" s="20"/>
      <c r="L155" s="6" t="s">
        <v>171</v>
      </c>
      <c r="M155" s="6" t="s">
        <v>225</v>
      </c>
      <c r="N155" s="6" t="str">
        <f>_xlfn.XLOOKUP(O155,'[1]Governance Dimension_Topics'!$C$3:$C$16,'[1]Governance Dimension_Topics'!$B$3:$B$16,"None",0)</f>
        <v>Institutional</v>
      </c>
      <c r="O155" s="20" t="s">
        <v>51</v>
      </c>
      <c r="P155" s="6" t="str">
        <f>_xlfn.XLOOKUP(Q155,'[1]Governance Dimension_Topics'!$C$3:$C$16,'[1]Governance Dimension_Topics'!$B$3:$B$16,"None",0)</f>
        <v>Development</v>
      </c>
      <c r="Q155" s="20" t="s">
        <v>93</v>
      </c>
      <c r="R155" s="6" t="str">
        <f>_xlfn.XLOOKUP(S155,'[1]Governance Dimension_Topics'!$C$3:$C$16,'[1]Governance Dimension_Topics'!$B$3:$B$16,"None",0)</f>
        <v>Development</v>
      </c>
      <c r="S155" s="20" t="s">
        <v>111</v>
      </c>
      <c r="T155" s="6" t="str">
        <f>_xlfn.XLOOKUP(U155,'[1]Governance Dimension_Topics'!$C$3:$C$16,'[1]Governance Dimension_Topics'!$B$3:$B$16,"None",0)</f>
        <v>Economic</v>
      </c>
      <c r="U155" s="20" t="s">
        <v>35</v>
      </c>
      <c r="V155" s="6"/>
      <c r="W155" s="20"/>
      <c r="X155" s="20" t="s">
        <v>31</v>
      </c>
      <c r="Y155" s="6"/>
    </row>
    <row r="156" spans="1:25" x14ac:dyDescent="0.25">
      <c r="A156" s="20" t="s">
        <v>278</v>
      </c>
      <c r="B156" s="21">
        <v>46066</v>
      </c>
      <c r="C156" s="20" t="s">
        <v>280</v>
      </c>
      <c r="D156" s="6" t="s">
        <v>266</v>
      </c>
      <c r="E156" s="20" t="s">
        <v>123</v>
      </c>
      <c r="F156" s="20" t="s">
        <v>34</v>
      </c>
      <c r="G156" s="20" t="s">
        <v>204</v>
      </c>
      <c r="H156" s="20" t="s">
        <v>317</v>
      </c>
      <c r="I156" s="20" t="s">
        <v>220</v>
      </c>
      <c r="J156" s="20"/>
      <c r="K156" s="20"/>
      <c r="L156" s="6" t="s">
        <v>171</v>
      </c>
      <c r="M156" s="6" t="s">
        <v>225</v>
      </c>
      <c r="N156" s="6" t="str">
        <f>_xlfn.XLOOKUP(O156,'[1]Governance Dimension_Topics'!$C$3:$C$16,'[1]Governance Dimension_Topics'!$B$3:$B$16,"None",0)</f>
        <v>Economic</v>
      </c>
      <c r="O156" s="20" t="s">
        <v>35</v>
      </c>
      <c r="P156" s="6" t="str">
        <f>_xlfn.XLOOKUP(Q156,'[1]Governance Dimension_Topics'!$C$3:$C$16,'[1]Governance Dimension_Topics'!$B$3:$B$16,"None",0)</f>
        <v>Development</v>
      </c>
      <c r="Q156" s="20" t="s">
        <v>93</v>
      </c>
      <c r="R156" s="6" t="str">
        <f>_xlfn.XLOOKUP(S156,'[1]Governance Dimension_Topics'!$C$3:$C$16,'[1]Governance Dimension_Topics'!$B$3:$B$16,"None",0)</f>
        <v>Institutional</v>
      </c>
      <c r="S156" s="20" t="s">
        <v>51</v>
      </c>
      <c r="T156" s="6"/>
      <c r="U156" s="20"/>
      <c r="V156" s="6"/>
      <c r="W156" s="20"/>
      <c r="X156" s="20" t="s">
        <v>31</v>
      </c>
      <c r="Y156" s="6"/>
    </row>
    <row r="157" spans="1:25" ht="60" x14ac:dyDescent="0.25">
      <c r="A157" s="20" t="s">
        <v>278</v>
      </c>
      <c r="B157" s="21">
        <v>46066</v>
      </c>
      <c r="C157" s="20" t="s">
        <v>280</v>
      </c>
      <c r="D157" s="6" t="s">
        <v>266</v>
      </c>
      <c r="E157" s="20" t="s">
        <v>318</v>
      </c>
      <c r="F157" s="20" t="s">
        <v>34</v>
      </c>
      <c r="G157" s="20" t="s">
        <v>204</v>
      </c>
      <c r="H157" s="20" t="s">
        <v>319</v>
      </c>
      <c r="I157" s="20" t="s">
        <v>220</v>
      </c>
      <c r="J157" s="20"/>
      <c r="K157" s="20"/>
      <c r="L157" s="6" t="s">
        <v>171</v>
      </c>
      <c r="M157" s="6" t="s">
        <v>225</v>
      </c>
      <c r="N157" s="6" t="str">
        <f>_xlfn.XLOOKUP(O157,'[1]Governance Dimension_Topics'!$C$3:$C$16,'[1]Governance Dimension_Topics'!$B$3:$B$16,"None",0)</f>
        <v>Economic</v>
      </c>
      <c r="O157" s="20" t="s">
        <v>35</v>
      </c>
      <c r="P157" s="6" t="str">
        <f>_xlfn.XLOOKUP(Q157,'[1]Governance Dimension_Topics'!$C$3:$C$16,'[1]Governance Dimension_Topics'!$B$3:$B$16,"None",0)</f>
        <v>Legal</v>
      </c>
      <c r="Q157" s="20" t="s">
        <v>94</v>
      </c>
      <c r="R157" s="6" t="str">
        <f>_xlfn.XLOOKUP(S157,'[1]Governance Dimension_Topics'!$C$3:$C$16,'[1]Governance Dimension_Topics'!$B$3:$B$16,"None",0)</f>
        <v>Development</v>
      </c>
      <c r="S157" s="20" t="s">
        <v>93</v>
      </c>
      <c r="T157" s="6" t="str">
        <f>_xlfn.XLOOKUP(U157,'[1]Governance Dimension_Topics'!$C$3:$C$16,'[1]Governance Dimension_Topics'!$B$3:$B$16,"None",0)</f>
        <v>Legal</v>
      </c>
      <c r="U157" s="20" t="s">
        <v>39</v>
      </c>
      <c r="V157" s="6" t="str">
        <f>_xlfn.XLOOKUP(W157,'[1]Governance Dimension_Topics'!$C$3:$C$16,'[1]Governance Dimension_Topics'!$B$3:$B$16,"None",0)</f>
        <v>Institutional</v>
      </c>
      <c r="W157" s="20" t="s">
        <v>51</v>
      </c>
      <c r="X157" s="20" t="s">
        <v>31</v>
      </c>
      <c r="Y157" s="6"/>
    </row>
    <row r="158" spans="1:25" x14ac:dyDescent="0.25">
      <c r="A158" s="20" t="s">
        <v>278</v>
      </c>
      <c r="B158" s="21">
        <v>46066</v>
      </c>
      <c r="C158" s="20" t="s">
        <v>280</v>
      </c>
      <c r="D158" s="6" t="s">
        <v>266</v>
      </c>
      <c r="E158" s="20" t="s">
        <v>320</v>
      </c>
      <c r="F158" s="20" t="s">
        <v>34</v>
      </c>
      <c r="G158" s="20" t="s">
        <v>204</v>
      </c>
      <c r="H158" s="20" t="s">
        <v>321</v>
      </c>
      <c r="I158" s="20" t="s">
        <v>220</v>
      </c>
      <c r="J158" s="20"/>
      <c r="K158" s="20"/>
      <c r="L158" s="6" t="s">
        <v>171</v>
      </c>
      <c r="M158" s="6" t="s">
        <v>225</v>
      </c>
      <c r="N158" s="6" t="str">
        <f>_xlfn.XLOOKUP(O158,'[1]Governance Dimension_Topics'!$C$3:$C$16,'[1]Governance Dimension_Topics'!$B$3:$B$16,"None",0)</f>
        <v>Economic</v>
      </c>
      <c r="O158" s="20" t="s">
        <v>35</v>
      </c>
      <c r="P158" s="6" t="str">
        <f>_xlfn.XLOOKUP(Q158,'[1]Governance Dimension_Topics'!$C$3:$C$16,'[1]Governance Dimension_Topics'!$B$3:$B$16,"None",0)</f>
        <v>Legal</v>
      </c>
      <c r="Q158" s="20" t="s">
        <v>94</v>
      </c>
      <c r="R158" s="6" t="str">
        <f>_xlfn.XLOOKUP(S158,'[1]Governance Dimension_Topics'!$C$3:$C$16,'[1]Governance Dimension_Topics'!$B$3:$B$16,"None",0)</f>
        <v>Institutional</v>
      </c>
      <c r="S158" s="20" t="s">
        <v>51</v>
      </c>
      <c r="T158" s="6" t="str">
        <f>_xlfn.XLOOKUP(U158,'[1]Governance Dimension_Topics'!$C$3:$C$16,'[1]Governance Dimension_Topics'!$B$3:$B$16,"None",0)</f>
        <v>Development</v>
      </c>
      <c r="U158" s="20" t="s">
        <v>93</v>
      </c>
      <c r="V158" s="6"/>
      <c r="W158" s="20"/>
      <c r="X158" s="20" t="s">
        <v>31</v>
      </c>
      <c r="Y158" s="6"/>
    </row>
    <row r="159" spans="1:25" x14ac:dyDescent="0.25">
      <c r="A159" s="20" t="s">
        <v>278</v>
      </c>
      <c r="B159" s="21">
        <v>46066</v>
      </c>
      <c r="C159" s="20" t="s">
        <v>280</v>
      </c>
      <c r="D159" s="6" t="s">
        <v>266</v>
      </c>
      <c r="E159" s="20" t="s">
        <v>70</v>
      </c>
      <c r="F159" s="20" t="s">
        <v>34</v>
      </c>
      <c r="G159" s="20" t="s">
        <v>204</v>
      </c>
      <c r="H159" s="20" t="s">
        <v>322</v>
      </c>
      <c r="I159" s="20" t="s">
        <v>220</v>
      </c>
      <c r="J159" s="20"/>
      <c r="K159" s="20"/>
      <c r="L159" s="6" t="s">
        <v>171</v>
      </c>
      <c r="M159" s="6" t="s">
        <v>225</v>
      </c>
      <c r="N159" s="6" t="str">
        <f>_xlfn.XLOOKUP(O159,'[1]Governance Dimension_Topics'!$C$3:$C$16,'[1]Governance Dimension_Topics'!$B$3:$B$16,"None",0)</f>
        <v>Institutional</v>
      </c>
      <c r="O159" s="20" t="s">
        <v>51</v>
      </c>
      <c r="P159" s="6" t="str">
        <f>_xlfn.XLOOKUP(Q159,'[1]Governance Dimension_Topics'!$C$3:$C$16,'[1]Governance Dimension_Topics'!$B$3:$B$16,"None",0)</f>
        <v>Development</v>
      </c>
      <c r="Q159" s="20" t="s">
        <v>93</v>
      </c>
      <c r="R159" s="6" t="str">
        <f>_xlfn.XLOOKUP(S159,'[1]Governance Dimension_Topics'!$C$3:$C$16,'[1]Governance Dimension_Topics'!$B$3:$B$16,"None",0)</f>
        <v>Economic</v>
      </c>
      <c r="S159" s="20" t="s">
        <v>35</v>
      </c>
      <c r="T159" s="6" t="str">
        <f>_xlfn.XLOOKUP(U159,'[1]Governance Dimension_Topics'!$C$3:$C$16,'[1]Governance Dimension_Topics'!$B$3:$B$16,"None",0)</f>
        <v>Institutional</v>
      </c>
      <c r="U159" s="20" t="s">
        <v>37</v>
      </c>
      <c r="V159" s="6"/>
      <c r="W159" s="20"/>
      <c r="X159" s="20" t="s">
        <v>31</v>
      </c>
      <c r="Y159" s="6"/>
    </row>
    <row r="160" spans="1:25" x14ac:dyDescent="0.25">
      <c r="A160" s="20" t="s">
        <v>278</v>
      </c>
      <c r="B160" s="21">
        <v>46066</v>
      </c>
      <c r="C160" s="20" t="s">
        <v>280</v>
      </c>
      <c r="D160" s="6" t="s">
        <v>266</v>
      </c>
      <c r="E160" s="20" t="s">
        <v>125</v>
      </c>
      <c r="F160" s="20" t="s">
        <v>34</v>
      </c>
      <c r="G160" s="20" t="s">
        <v>204</v>
      </c>
      <c r="H160" s="20" t="s">
        <v>323</v>
      </c>
      <c r="I160" s="20" t="s">
        <v>220</v>
      </c>
      <c r="J160" s="20"/>
      <c r="K160" s="20"/>
      <c r="L160" s="6" t="s">
        <v>171</v>
      </c>
      <c r="M160" s="6" t="s">
        <v>225</v>
      </c>
      <c r="N160" s="6" t="str">
        <f>_xlfn.XLOOKUP(O160,'[1]Governance Dimension_Topics'!$C$3:$C$16,'[1]Governance Dimension_Topics'!$B$3:$B$16,"None",0)</f>
        <v>Legal</v>
      </c>
      <c r="O160" s="20" t="s">
        <v>39</v>
      </c>
      <c r="P160" s="6" t="str">
        <f>_xlfn.XLOOKUP(Q160,'[1]Governance Dimension_Topics'!$C$3:$C$16,'[1]Governance Dimension_Topics'!$B$3:$B$16,"None",0)</f>
        <v>Development</v>
      </c>
      <c r="Q160" s="20" t="s">
        <v>93</v>
      </c>
      <c r="R160" s="6" t="str">
        <f>_xlfn.XLOOKUP(S160,'[1]Governance Dimension_Topics'!$C$3:$C$16,'[1]Governance Dimension_Topics'!$B$3:$B$16,"None",0)</f>
        <v>Economic</v>
      </c>
      <c r="S160" s="20" t="s">
        <v>35</v>
      </c>
      <c r="T160" s="6" t="str">
        <f>_xlfn.XLOOKUP(U160,'[1]Governance Dimension_Topics'!$C$3:$C$16,'[1]Governance Dimension_Topics'!$B$3:$B$16,"None",0)</f>
        <v>Institutional</v>
      </c>
      <c r="U160" s="20" t="s">
        <v>51</v>
      </c>
      <c r="V160" s="6"/>
      <c r="W160" s="20"/>
      <c r="X160" s="20" t="s">
        <v>31</v>
      </c>
      <c r="Y160" s="6"/>
    </row>
    <row r="161" spans="1:25" x14ac:dyDescent="0.25">
      <c r="A161" s="20" t="s">
        <v>278</v>
      </c>
      <c r="B161" s="21">
        <v>46066</v>
      </c>
      <c r="C161" s="20" t="s">
        <v>280</v>
      </c>
      <c r="D161" s="6" t="s">
        <v>266</v>
      </c>
      <c r="E161" s="20" t="s">
        <v>324</v>
      </c>
      <c r="F161" s="20" t="s">
        <v>34</v>
      </c>
      <c r="G161" s="20" t="s">
        <v>204</v>
      </c>
      <c r="H161" s="20" t="s">
        <v>325</v>
      </c>
      <c r="I161" s="20" t="s">
        <v>220</v>
      </c>
      <c r="J161" s="20"/>
      <c r="K161" s="20"/>
      <c r="L161" s="6" t="s">
        <v>171</v>
      </c>
      <c r="M161" s="6" t="s">
        <v>225</v>
      </c>
      <c r="N161" s="6" t="str">
        <f>_xlfn.XLOOKUP(O161,'[1]Governance Dimension_Topics'!$C$3:$C$16,'[1]Governance Dimension_Topics'!$B$3:$B$16,"None",0)</f>
        <v>Legal</v>
      </c>
      <c r="O161" s="20" t="s">
        <v>94</v>
      </c>
      <c r="P161" s="6" t="str">
        <f>_xlfn.XLOOKUP(Q161,'[1]Governance Dimension_Topics'!$C$3:$C$16,'[1]Governance Dimension_Topics'!$B$3:$B$16,"None",0)</f>
        <v>Economic</v>
      </c>
      <c r="Q161" s="20" t="s">
        <v>35</v>
      </c>
      <c r="R161" s="6" t="str">
        <f>_xlfn.XLOOKUP(S161,'[1]Governance Dimension_Topics'!$C$3:$C$16,'[1]Governance Dimension_Topics'!$B$3:$B$16,"None",0)</f>
        <v>Institutional</v>
      </c>
      <c r="S161" s="20" t="s">
        <v>51</v>
      </c>
      <c r="T161" s="6" t="str">
        <f>_xlfn.XLOOKUP(U161,'[1]Governance Dimension_Topics'!$C$3:$C$16,'[1]Governance Dimension_Topics'!$B$3:$B$16,"None",0)</f>
        <v>Development</v>
      </c>
      <c r="U161" s="20" t="s">
        <v>93</v>
      </c>
      <c r="V161" s="6"/>
      <c r="W161" s="20"/>
      <c r="X161" s="20" t="s">
        <v>31</v>
      </c>
      <c r="Y161" s="6"/>
    </row>
    <row r="162" spans="1:25" x14ac:dyDescent="0.25">
      <c r="A162" s="20" t="s">
        <v>278</v>
      </c>
      <c r="B162" s="21">
        <v>46066</v>
      </c>
      <c r="C162" s="20" t="s">
        <v>280</v>
      </c>
      <c r="D162" s="6" t="s">
        <v>266</v>
      </c>
      <c r="E162" s="20" t="s">
        <v>326</v>
      </c>
      <c r="F162" s="20" t="s">
        <v>34</v>
      </c>
      <c r="G162" s="20" t="s">
        <v>204</v>
      </c>
      <c r="H162" s="20" t="s">
        <v>327</v>
      </c>
      <c r="I162" s="20" t="s">
        <v>220</v>
      </c>
      <c r="J162" s="20"/>
      <c r="K162" s="20"/>
      <c r="L162" s="6" t="s">
        <v>171</v>
      </c>
      <c r="M162" s="6" t="s">
        <v>225</v>
      </c>
      <c r="N162" s="6" t="str">
        <f>_xlfn.XLOOKUP(O162,'[1]Governance Dimension_Topics'!$C$3:$C$16,'[1]Governance Dimension_Topics'!$B$3:$B$16,"None",0)</f>
        <v>Development</v>
      </c>
      <c r="O162" s="20" t="s">
        <v>93</v>
      </c>
      <c r="P162" s="6" t="str">
        <f>_xlfn.XLOOKUP(Q162,'[1]Governance Dimension_Topics'!$C$3:$C$16,'[1]Governance Dimension_Topics'!$B$3:$B$16,"None",0)</f>
        <v>Economic</v>
      </c>
      <c r="Q162" s="20" t="s">
        <v>35</v>
      </c>
      <c r="R162" s="6" t="str">
        <f>_xlfn.XLOOKUP(S162,'[1]Governance Dimension_Topics'!$C$3:$C$16,'[1]Governance Dimension_Topics'!$B$3:$B$16,"None",0)</f>
        <v>Institutional</v>
      </c>
      <c r="S162" s="20" t="s">
        <v>51</v>
      </c>
      <c r="T162" s="6" t="str">
        <f>_xlfn.XLOOKUP(U162,'[1]Governance Dimension_Topics'!$C$3:$C$16,'[1]Governance Dimension_Topics'!$B$3:$B$16,"None",0)</f>
        <v>Institutional</v>
      </c>
      <c r="U162" s="20" t="s">
        <v>37</v>
      </c>
      <c r="V162" s="6"/>
      <c r="W162" s="20"/>
      <c r="X162" s="20" t="s">
        <v>31</v>
      </c>
      <c r="Y162" s="6"/>
    </row>
    <row r="163" spans="1:25" x14ac:dyDescent="0.25">
      <c r="A163" s="20" t="s">
        <v>278</v>
      </c>
      <c r="B163" s="21">
        <v>46066</v>
      </c>
      <c r="C163" s="20" t="s">
        <v>280</v>
      </c>
      <c r="D163" s="6" t="s">
        <v>266</v>
      </c>
      <c r="E163" s="20" t="s">
        <v>182</v>
      </c>
      <c r="F163" s="20" t="s">
        <v>34</v>
      </c>
      <c r="G163" s="20" t="s">
        <v>204</v>
      </c>
      <c r="H163" s="20" t="s">
        <v>328</v>
      </c>
      <c r="I163" s="20" t="s">
        <v>220</v>
      </c>
      <c r="J163" s="20"/>
      <c r="K163" s="20"/>
      <c r="L163" s="6" t="s">
        <v>171</v>
      </c>
      <c r="M163" s="6" t="s">
        <v>225</v>
      </c>
      <c r="N163" s="6" t="str">
        <f>_xlfn.XLOOKUP(O163,'[1]Governance Dimension_Topics'!$C$3:$C$16,'[1]Governance Dimension_Topics'!$B$3:$B$16,"None",0)</f>
        <v>Economic</v>
      </c>
      <c r="O163" s="20" t="s">
        <v>35</v>
      </c>
      <c r="P163" s="6" t="str">
        <f>_xlfn.XLOOKUP(Q163,'[1]Governance Dimension_Topics'!$C$3:$C$16,'[1]Governance Dimension_Topics'!$B$3:$B$16,"None",0)</f>
        <v>Institutional</v>
      </c>
      <c r="Q163" s="20" t="s">
        <v>51</v>
      </c>
      <c r="R163" s="6" t="str">
        <f>_xlfn.XLOOKUP(S163,'[1]Governance Dimension_Topics'!$C$3:$C$16,'[1]Governance Dimension_Topics'!$B$3:$B$16,"None",0)</f>
        <v>Legal</v>
      </c>
      <c r="S163" s="20" t="s">
        <v>94</v>
      </c>
      <c r="T163" s="6"/>
      <c r="U163" s="20"/>
      <c r="V163" s="6"/>
      <c r="W163" s="20"/>
      <c r="X163" s="20" t="s">
        <v>31</v>
      </c>
      <c r="Y163" s="6"/>
    </row>
    <row r="164" spans="1:25" x14ac:dyDescent="0.25">
      <c r="A164" s="20" t="s">
        <v>278</v>
      </c>
      <c r="B164" s="21">
        <v>46066</v>
      </c>
      <c r="C164" s="20" t="s">
        <v>280</v>
      </c>
      <c r="D164" s="6" t="s">
        <v>266</v>
      </c>
      <c r="E164" s="20" t="s">
        <v>329</v>
      </c>
      <c r="F164" s="20" t="s">
        <v>34</v>
      </c>
      <c r="G164" s="20" t="s">
        <v>204</v>
      </c>
      <c r="H164" s="20" t="s">
        <v>330</v>
      </c>
      <c r="I164" s="20" t="s">
        <v>220</v>
      </c>
      <c r="J164" s="20"/>
      <c r="K164" s="20"/>
      <c r="L164" s="6" t="s">
        <v>171</v>
      </c>
      <c r="M164" s="6" t="s">
        <v>225</v>
      </c>
      <c r="N164" s="6" t="str">
        <f>_xlfn.XLOOKUP(O164,'[1]Governance Dimension_Topics'!$C$3:$C$16,'[1]Governance Dimension_Topics'!$B$3:$B$16,"None",0)</f>
        <v>Economic</v>
      </c>
      <c r="O164" s="20" t="s">
        <v>35</v>
      </c>
      <c r="P164" s="6" t="str">
        <f>_xlfn.XLOOKUP(Q164,'[1]Governance Dimension_Topics'!$C$3:$C$16,'[1]Governance Dimension_Topics'!$B$3:$B$16,"None",0)</f>
        <v>Legal</v>
      </c>
      <c r="Q164" s="20" t="s">
        <v>94</v>
      </c>
      <c r="R164" s="6" t="str">
        <f>_xlfn.XLOOKUP(S164,'[1]Governance Dimension_Topics'!$C$3:$C$16,'[1]Governance Dimension_Topics'!$B$3:$B$16,"None",0)</f>
        <v>Institutional</v>
      </c>
      <c r="S164" s="20" t="s">
        <v>51</v>
      </c>
      <c r="T164" s="6" t="str">
        <f>_xlfn.XLOOKUP(U164,'[1]Governance Dimension_Topics'!$C$3:$C$16,'[1]Governance Dimension_Topics'!$B$3:$B$16,"None",0)</f>
        <v>Institutional</v>
      </c>
      <c r="U164" s="20" t="s">
        <v>37</v>
      </c>
      <c r="V164" s="6"/>
      <c r="W164" s="20"/>
      <c r="X164" s="20" t="s">
        <v>31</v>
      </c>
      <c r="Y164" s="6"/>
    </row>
    <row r="165" spans="1:25" ht="30" x14ac:dyDescent="0.25">
      <c r="A165" s="20" t="s">
        <v>278</v>
      </c>
      <c r="B165" s="21">
        <v>46066</v>
      </c>
      <c r="C165" s="20" t="s">
        <v>280</v>
      </c>
      <c r="D165" s="6" t="s">
        <v>266</v>
      </c>
      <c r="E165" s="20" t="s">
        <v>331</v>
      </c>
      <c r="F165" s="20" t="s">
        <v>34</v>
      </c>
      <c r="G165" s="20" t="s">
        <v>204</v>
      </c>
      <c r="H165" s="20" t="s">
        <v>332</v>
      </c>
      <c r="I165" s="20" t="s">
        <v>220</v>
      </c>
      <c r="J165" s="20"/>
      <c r="K165" s="20"/>
      <c r="L165" s="6" t="s">
        <v>171</v>
      </c>
      <c r="M165" s="6" t="s">
        <v>225</v>
      </c>
      <c r="N165" s="6" t="str">
        <f>_xlfn.XLOOKUP(O165,'[1]Governance Dimension_Topics'!$C$3:$C$16,'[1]Governance Dimension_Topics'!$B$3:$B$16,"None",0)</f>
        <v>Legal</v>
      </c>
      <c r="O165" s="20" t="s">
        <v>94</v>
      </c>
      <c r="P165" s="6" t="str">
        <f>_xlfn.XLOOKUP(Q165,'[1]Governance Dimension_Topics'!$C$3:$C$16,'[1]Governance Dimension_Topics'!$B$3:$B$16,"None",0)</f>
        <v>Development</v>
      </c>
      <c r="Q165" s="20" t="s">
        <v>93</v>
      </c>
      <c r="R165" s="6" t="str">
        <f>_xlfn.XLOOKUP(S165,'[1]Governance Dimension_Topics'!$C$3:$C$16,'[1]Governance Dimension_Topics'!$B$3:$B$16,"None",0)</f>
        <v>Economic</v>
      </c>
      <c r="S165" s="20" t="s">
        <v>35</v>
      </c>
      <c r="T165" s="6" t="str">
        <f>_xlfn.XLOOKUP(U165,'[1]Governance Dimension_Topics'!$C$3:$C$16,'[1]Governance Dimension_Topics'!$B$3:$B$16,"None",0)</f>
        <v>Institutional</v>
      </c>
      <c r="U165" s="20" t="s">
        <v>51</v>
      </c>
      <c r="V165" s="6"/>
      <c r="W165" s="20"/>
      <c r="X165" s="20" t="s">
        <v>31</v>
      </c>
      <c r="Y165" s="6"/>
    </row>
    <row r="166" spans="1:25" x14ac:dyDescent="0.25">
      <c r="A166" s="20" t="s">
        <v>278</v>
      </c>
      <c r="B166" s="21">
        <v>46066</v>
      </c>
      <c r="C166" s="20" t="s">
        <v>280</v>
      </c>
      <c r="D166" s="6" t="s">
        <v>266</v>
      </c>
      <c r="E166" s="20" t="s">
        <v>78</v>
      </c>
      <c r="F166" s="20" t="s">
        <v>34</v>
      </c>
      <c r="G166" s="20" t="s">
        <v>204</v>
      </c>
      <c r="H166" s="20" t="s">
        <v>333</v>
      </c>
      <c r="I166" s="20" t="s">
        <v>220</v>
      </c>
      <c r="J166" s="20"/>
      <c r="K166" s="20"/>
      <c r="L166" s="6" t="s">
        <v>171</v>
      </c>
      <c r="M166" s="6" t="s">
        <v>225</v>
      </c>
      <c r="N166" s="6" t="str">
        <f>_xlfn.XLOOKUP(O166,'[1]Governance Dimension_Topics'!$C$3:$C$16,'[1]Governance Dimension_Topics'!$B$3:$B$16,"None",0)</f>
        <v>Institutional</v>
      </c>
      <c r="O166" s="20" t="s">
        <v>51</v>
      </c>
      <c r="P166" s="6" t="str">
        <f>_xlfn.XLOOKUP(Q166,'[1]Governance Dimension_Topics'!$C$3:$C$16,'[1]Governance Dimension_Topics'!$B$3:$B$16,"None",0)</f>
        <v>Development</v>
      </c>
      <c r="Q166" s="20" t="s">
        <v>93</v>
      </c>
      <c r="R166" s="6" t="str">
        <f>_xlfn.XLOOKUP(S166,'[1]Governance Dimension_Topics'!$C$3:$C$16,'[1]Governance Dimension_Topics'!$B$3:$B$16,"None",0)</f>
        <v>Economic</v>
      </c>
      <c r="S166" s="20" t="s">
        <v>35</v>
      </c>
      <c r="T166" s="6"/>
      <c r="U166" s="20"/>
      <c r="V166" s="6"/>
      <c r="W166" s="20"/>
      <c r="X166" s="20" t="s">
        <v>31</v>
      </c>
      <c r="Y166" s="6"/>
    </row>
    <row r="167" spans="1:25" x14ac:dyDescent="0.25">
      <c r="A167" s="20" t="s">
        <v>278</v>
      </c>
      <c r="B167" s="21">
        <v>46066</v>
      </c>
      <c r="C167" s="20" t="s">
        <v>280</v>
      </c>
      <c r="D167" s="6" t="s">
        <v>266</v>
      </c>
      <c r="E167" s="20" t="s">
        <v>185</v>
      </c>
      <c r="F167" s="20" t="s">
        <v>34</v>
      </c>
      <c r="G167" s="20" t="s">
        <v>204</v>
      </c>
      <c r="H167" s="20" t="s">
        <v>334</v>
      </c>
      <c r="I167" s="20" t="s">
        <v>220</v>
      </c>
      <c r="J167" s="20"/>
      <c r="K167" s="20"/>
      <c r="L167" s="6" t="s">
        <v>171</v>
      </c>
      <c r="M167" s="6" t="s">
        <v>225</v>
      </c>
      <c r="N167" s="6" t="str">
        <f>_xlfn.XLOOKUP(O167,'[1]Governance Dimension_Topics'!$C$3:$C$16,'[1]Governance Dimension_Topics'!$B$3:$B$16,"None",0)</f>
        <v>Institutional</v>
      </c>
      <c r="O167" s="20" t="s">
        <v>51</v>
      </c>
      <c r="P167" s="6" t="str">
        <f>_xlfn.XLOOKUP(Q167,'[1]Governance Dimension_Topics'!$C$3:$C$16,'[1]Governance Dimension_Topics'!$B$3:$B$16,"None",0)</f>
        <v>Institutional</v>
      </c>
      <c r="Q167" s="20" t="s">
        <v>37</v>
      </c>
      <c r="R167" s="6"/>
      <c r="S167" s="20"/>
      <c r="T167" s="6"/>
      <c r="U167" s="20"/>
      <c r="V167" s="6"/>
      <c r="W167" s="20"/>
      <c r="X167" s="20" t="s">
        <v>48</v>
      </c>
      <c r="Y167" s="6"/>
    </row>
    <row r="168" spans="1:25" x14ac:dyDescent="0.25">
      <c r="A168" s="20" t="s">
        <v>278</v>
      </c>
      <c r="B168" s="21">
        <v>46066</v>
      </c>
      <c r="C168" s="20" t="s">
        <v>280</v>
      </c>
      <c r="D168" s="6" t="s">
        <v>266</v>
      </c>
      <c r="E168" s="20" t="s">
        <v>50</v>
      </c>
      <c r="F168" s="20" t="s">
        <v>34</v>
      </c>
      <c r="G168" s="20" t="s">
        <v>204</v>
      </c>
      <c r="H168" s="20" t="s">
        <v>335</v>
      </c>
      <c r="I168" s="20" t="s">
        <v>220</v>
      </c>
      <c r="J168" s="20"/>
      <c r="K168" s="20"/>
      <c r="L168" s="6" t="s">
        <v>171</v>
      </c>
      <c r="M168" s="6" t="s">
        <v>225</v>
      </c>
      <c r="N168" s="6" t="str">
        <f>_xlfn.XLOOKUP(O168,'[1]Governance Dimension_Topics'!$C$3:$C$16,'[1]Governance Dimension_Topics'!$B$3:$B$16,"None",0)</f>
        <v>Development</v>
      </c>
      <c r="O168" s="20" t="s">
        <v>93</v>
      </c>
      <c r="P168" s="6" t="str">
        <f>_xlfn.XLOOKUP(Q168,'[1]Governance Dimension_Topics'!$C$3:$C$16,'[1]Governance Dimension_Topics'!$B$3:$B$16,"None",0)</f>
        <v>Economic</v>
      </c>
      <c r="Q168" s="20" t="s">
        <v>35</v>
      </c>
      <c r="R168" s="6" t="str">
        <f>_xlfn.XLOOKUP(S168,'[1]Governance Dimension_Topics'!$C$3:$C$16,'[1]Governance Dimension_Topics'!$B$3:$B$16,"None",0)</f>
        <v>Institutional</v>
      </c>
      <c r="S168" s="20" t="s">
        <v>37</v>
      </c>
      <c r="T168" s="6" t="str">
        <f>_xlfn.XLOOKUP(U168,'[1]Governance Dimension_Topics'!$C$3:$C$16,'[1]Governance Dimension_Topics'!$B$3:$B$16,"None",0)</f>
        <v>Institutional</v>
      </c>
      <c r="U168" s="20" t="s">
        <v>51</v>
      </c>
      <c r="V168" s="6"/>
      <c r="W168" s="20"/>
      <c r="X168" s="20" t="s">
        <v>31</v>
      </c>
      <c r="Y168" s="6"/>
    </row>
    <row r="169" spans="1:25" x14ac:dyDescent="0.25">
      <c r="A169" s="20" t="s">
        <v>278</v>
      </c>
      <c r="B169" s="21">
        <v>46066</v>
      </c>
      <c r="C169" s="6" t="s">
        <v>280</v>
      </c>
      <c r="D169" s="6" t="s">
        <v>266</v>
      </c>
      <c r="E169" s="6" t="s">
        <v>235</v>
      </c>
      <c r="F169" s="6" t="s">
        <v>34</v>
      </c>
      <c r="G169" s="6" t="s">
        <v>204</v>
      </c>
      <c r="H169" s="6" t="s">
        <v>337</v>
      </c>
      <c r="I169" s="6" t="s">
        <v>220</v>
      </c>
      <c r="J169" s="6"/>
      <c r="K169" s="6"/>
      <c r="L169" s="6" t="s">
        <v>171</v>
      </c>
      <c r="M169" s="6" t="s">
        <v>225</v>
      </c>
      <c r="N169" s="6" t="str">
        <f>_xlfn.XLOOKUP(O169,'[1]Governance Dimension_Topics'!$C$3:$C$16,'[1]Governance Dimension_Topics'!$B$3:$B$16,"None",0)</f>
        <v>Development</v>
      </c>
      <c r="O169" s="6" t="s">
        <v>93</v>
      </c>
      <c r="P169" s="6" t="str">
        <f>_xlfn.XLOOKUP(Q169,'[1]Governance Dimension_Topics'!$C$3:$C$16,'[1]Governance Dimension_Topics'!$B$3:$B$16,"None",0)</f>
        <v>Political Economy</v>
      </c>
      <c r="Q169" s="6" t="s">
        <v>29</v>
      </c>
      <c r="R169" s="6" t="str">
        <f>_xlfn.XLOOKUP(S169,'[1]Governance Dimension_Topics'!$C$3:$C$16,'[1]Governance Dimension_Topics'!$B$3:$B$16,"None",0)</f>
        <v>Institutional</v>
      </c>
      <c r="S169" s="6" t="s">
        <v>37</v>
      </c>
      <c r="T169" s="6" t="str">
        <f>_xlfn.XLOOKUP(U169,'[1]Governance Dimension_Topics'!$C$3:$C$16,'[1]Governance Dimension_Topics'!$B$3:$B$16,"None",0)</f>
        <v>Institutional</v>
      </c>
      <c r="U169" s="6" t="s">
        <v>51</v>
      </c>
      <c r="V169" s="6" t="str">
        <f>_xlfn.XLOOKUP(W169,'[1]Governance Dimension_Topics'!$C$3:$C$16,'[1]Governance Dimension_Topics'!$B$3:$B$16,"None",0)</f>
        <v>Development</v>
      </c>
      <c r="W169" s="6" t="s">
        <v>111</v>
      </c>
      <c r="X169" s="6" t="s">
        <v>31</v>
      </c>
      <c r="Y169" s="6"/>
    </row>
    <row r="170" spans="1:25" x14ac:dyDescent="0.25">
      <c r="A170" s="20" t="s">
        <v>278</v>
      </c>
      <c r="B170" s="21">
        <v>46066</v>
      </c>
      <c r="C170" s="6" t="s">
        <v>280</v>
      </c>
      <c r="D170" s="6" t="s">
        <v>266</v>
      </c>
      <c r="E170" s="6" t="s">
        <v>338</v>
      </c>
      <c r="F170" s="6" t="s">
        <v>34</v>
      </c>
      <c r="G170" s="6" t="s">
        <v>204</v>
      </c>
      <c r="H170" s="6" t="s">
        <v>339</v>
      </c>
      <c r="I170" s="6" t="s">
        <v>220</v>
      </c>
      <c r="J170" s="6"/>
      <c r="K170" s="6"/>
      <c r="L170" s="6" t="s">
        <v>171</v>
      </c>
      <c r="M170" s="6" t="s">
        <v>225</v>
      </c>
      <c r="N170" s="6" t="str">
        <f>_xlfn.XLOOKUP(O170,'[1]Governance Dimension_Topics'!$C$3:$C$16,'[1]Governance Dimension_Topics'!$B$3:$B$16,"None",0)</f>
        <v>Development</v>
      </c>
      <c r="O170" s="6" t="s">
        <v>93</v>
      </c>
      <c r="P170" s="6" t="str">
        <f>_xlfn.XLOOKUP(Q170,'[1]Governance Dimension_Topics'!$C$3:$C$16,'[1]Governance Dimension_Topics'!$B$3:$B$16,"None",0)</f>
        <v>Political Economy</v>
      </c>
      <c r="Q170" s="6" t="s">
        <v>29</v>
      </c>
      <c r="R170" s="6" t="str">
        <f>_xlfn.XLOOKUP(S170,'[1]Governance Dimension_Topics'!$C$3:$C$16,'[1]Governance Dimension_Topics'!$B$3:$B$16,"None",0)</f>
        <v>Institutional</v>
      </c>
      <c r="S170" s="6" t="s">
        <v>37</v>
      </c>
      <c r="T170" s="6" t="str">
        <f>_xlfn.XLOOKUP(U170,'[1]Governance Dimension_Topics'!$C$3:$C$16,'[1]Governance Dimension_Topics'!$B$3:$B$16,"None",0)</f>
        <v>Institutional</v>
      </c>
      <c r="U170" s="6" t="s">
        <v>51</v>
      </c>
      <c r="V170" s="6"/>
      <c r="W170" s="6"/>
      <c r="X170" s="6" t="s">
        <v>31</v>
      </c>
      <c r="Y170" s="6"/>
    </row>
    <row r="171" spans="1:25" x14ac:dyDescent="0.25">
      <c r="A171" s="20" t="s">
        <v>278</v>
      </c>
      <c r="B171" s="21">
        <v>46066</v>
      </c>
      <c r="C171" s="6" t="s">
        <v>280</v>
      </c>
      <c r="D171" s="6" t="s">
        <v>266</v>
      </c>
      <c r="E171" s="6" t="s">
        <v>340</v>
      </c>
      <c r="F171" s="6" t="s">
        <v>34</v>
      </c>
      <c r="G171" s="6" t="s">
        <v>204</v>
      </c>
      <c r="H171" s="6" t="s">
        <v>341</v>
      </c>
      <c r="I171" s="6" t="s">
        <v>220</v>
      </c>
      <c r="J171" s="6"/>
      <c r="K171" s="6"/>
      <c r="L171" s="6" t="s">
        <v>171</v>
      </c>
      <c r="M171" s="6" t="s">
        <v>225</v>
      </c>
      <c r="N171" s="6" t="str">
        <f>_xlfn.XLOOKUP(O171,'[1]Governance Dimension_Topics'!$C$3:$C$16,'[1]Governance Dimension_Topics'!$B$3:$B$16,"None",0)</f>
        <v>Development</v>
      </c>
      <c r="O171" s="6" t="s">
        <v>93</v>
      </c>
      <c r="P171" s="6" t="str">
        <f>_xlfn.XLOOKUP(Q171,'[1]Governance Dimension_Topics'!$C$3:$C$16,'[1]Governance Dimension_Topics'!$B$3:$B$16,"None",0)</f>
        <v>Institutional</v>
      </c>
      <c r="Q171" s="6" t="s">
        <v>37</v>
      </c>
      <c r="R171" s="6" t="str">
        <f>_xlfn.XLOOKUP(S171,'[1]Governance Dimension_Topics'!$C$3:$C$16,'[1]Governance Dimension_Topics'!$B$3:$B$16,"None",0)</f>
        <v>Institutional</v>
      </c>
      <c r="S171" s="6" t="s">
        <v>51</v>
      </c>
      <c r="T171" s="6"/>
      <c r="U171" s="6"/>
      <c r="V171" s="6"/>
      <c r="W171" s="6"/>
      <c r="X171" s="6" t="s">
        <v>31</v>
      </c>
      <c r="Y171" s="6"/>
    </row>
    <row r="172" spans="1:25" x14ac:dyDescent="0.25">
      <c r="A172" s="20" t="s">
        <v>278</v>
      </c>
      <c r="B172" s="21">
        <v>46066</v>
      </c>
      <c r="C172" s="6" t="s">
        <v>280</v>
      </c>
      <c r="D172" s="6" t="s">
        <v>266</v>
      </c>
      <c r="E172" s="6" t="s">
        <v>76</v>
      </c>
      <c r="F172" s="6" t="s">
        <v>34</v>
      </c>
      <c r="G172" s="6" t="s">
        <v>204</v>
      </c>
      <c r="H172" s="6" t="s">
        <v>342</v>
      </c>
      <c r="I172" s="6" t="s">
        <v>220</v>
      </c>
      <c r="J172" s="6"/>
      <c r="K172" s="6"/>
      <c r="L172" s="6" t="s">
        <v>171</v>
      </c>
      <c r="M172" s="6" t="s">
        <v>225</v>
      </c>
      <c r="N172" s="6" t="str">
        <f>_xlfn.XLOOKUP(O172,'[1]Governance Dimension_Topics'!$C$3:$C$16,'[1]Governance Dimension_Topics'!$B$3:$B$16,"None",0)</f>
        <v>Development</v>
      </c>
      <c r="O172" s="6" t="s">
        <v>93</v>
      </c>
      <c r="P172" s="6" t="str">
        <f>_xlfn.XLOOKUP(Q172,'[1]Governance Dimension_Topics'!$C$3:$C$16,'[1]Governance Dimension_Topics'!$B$3:$B$16,"None",0)</f>
        <v>Political Economy</v>
      </c>
      <c r="Q172" s="6" t="s">
        <v>29</v>
      </c>
      <c r="R172" s="6" t="str">
        <f>_xlfn.XLOOKUP(S172,'[1]Governance Dimension_Topics'!$C$3:$C$16,'[1]Governance Dimension_Topics'!$B$3:$B$16,"None",0)</f>
        <v>Institutional</v>
      </c>
      <c r="S172" s="6" t="s">
        <v>51</v>
      </c>
      <c r="T172" s="6" t="str">
        <f>_xlfn.XLOOKUP(U172,'[1]Governance Dimension_Topics'!$C$3:$C$16,'[1]Governance Dimension_Topics'!$B$3:$B$16,"None",0)</f>
        <v>Institutional</v>
      </c>
      <c r="U172" s="6" t="s">
        <v>37</v>
      </c>
      <c r="V172" s="6" t="str">
        <f>_xlfn.XLOOKUP(W172,'[1]Governance Dimension_Topics'!$C$3:$C$16,'[1]Governance Dimension_Topics'!$B$3:$B$16,"None",0)</f>
        <v>Legal</v>
      </c>
      <c r="W172" s="6" t="s">
        <v>94</v>
      </c>
      <c r="X172" s="6" t="s">
        <v>31</v>
      </c>
      <c r="Y172" s="6"/>
    </row>
    <row r="173" spans="1:25" x14ac:dyDescent="0.25">
      <c r="A173" s="20" t="s">
        <v>278</v>
      </c>
      <c r="B173" s="21">
        <v>46066</v>
      </c>
      <c r="C173" s="6" t="s">
        <v>280</v>
      </c>
      <c r="D173" s="6" t="s">
        <v>266</v>
      </c>
      <c r="E173" s="6" t="s">
        <v>244</v>
      </c>
      <c r="F173" s="6" t="s">
        <v>34</v>
      </c>
      <c r="G173" s="6" t="s">
        <v>204</v>
      </c>
      <c r="H173" s="6" t="s">
        <v>343</v>
      </c>
      <c r="I173" s="6" t="s">
        <v>220</v>
      </c>
      <c r="J173" s="6"/>
      <c r="K173" s="6"/>
      <c r="L173" s="6" t="s">
        <v>171</v>
      </c>
      <c r="M173" s="6" t="s">
        <v>225</v>
      </c>
      <c r="N173" s="6" t="str">
        <f>_xlfn.XLOOKUP(O173,'[1]Governance Dimension_Topics'!$C$3:$C$16,'[1]Governance Dimension_Topics'!$B$3:$B$16,"None",0)</f>
        <v>Institutional</v>
      </c>
      <c r="O173" s="6" t="s">
        <v>37</v>
      </c>
      <c r="P173" s="6" t="str">
        <f>_xlfn.XLOOKUP(Q173,'[1]Governance Dimension_Topics'!$C$3:$C$16,'[1]Governance Dimension_Topics'!$B$3:$B$16,"None",0)</f>
        <v>Development</v>
      </c>
      <c r="Q173" s="6" t="s">
        <v>93</v>
      </c>
      <c r="R173" s="6" t="str">
        <f>_xlfn.XLOOKUP(S173,'[1]Governance Dimension_Topics'!$C$3:$C$16,'[1]Governance Dimension_Topics'!$B$3:$B$16,"None",0)</f>
        <v>Institutional</v>
      </c>
      <c r="S173" s="6" t="s">
        <v>51</v>
      </c>
      <c r="T173" s="6"/>
      <c r="U173" s="6"/>
      <c r="V173" s="6"/>
      <c r="W173" s="6"/>
      <c r="X173" s="6" t="s">
        <v>31</v>
      </c>
      <c r="Y173" s="6"/>
    </row>
    <row r="174" spans="1:25" x14ac:dyDescent="0.25">
      <c r="A174" s="20" t="s">
        <v>278</v>
      </c>
      <c r="B174" s="21">
        <v>46066</v>
      </c>
      <c r="C174" s="6" t="s">
        <v>280</v>
      </c>
      <c r="D174" s="6" t="s">
        <v>266</v>
      </c>
      <c r="E174" s="6" t="s">
        <v>344</v>
      </c>
      <c r="F174" s="6" t="s">
        <v>34</v>
      </c>
      <c r="G174" s="6" t="s">
        <v>204</v>
      </c>
      <c r="H174" s="6" t="s">
        <v>345</v>
      </c>
      <c r="I174" s="6" t="s">
        <v>220</v>
      </c>
      <c r="J174" s="6"/>
      <c r="K174" s="6"/>
      <c r="L174" s="6" t="s">
        <v>171</v>
      </c>
      <c r="M174" s="6" t="s">
        <v>225</v>
      </c>
      <c r="N174" s="6" t="str">
        <f>_xlfn.XLOOKUP(O174,'[1]Governance Dimension_Topics'!$C$3:$C$16,'[1]Governance Dimension_Topics'!$B$3:$B$16,"None",0)</f>
        <v>Development</v>
      </c>
      <c r="O174" s="6" t="s">
        <v>111</v>
      </c>
      <c r="P174" s="6" t="str">
        <f>_xlfn.XLOOKUP(Q174,'[1]Governance Dimension_Topics'!$C$3:$C$16,'[1]Governance Dimension_Topics'!$B$3:$B$16,"None",0)</f>
        <v>Development</v>
      </c>
      <c r="Q174" s="6" t="s">
        <v>93</v>
      </c>
      <c r="R174" s="6" t="str">
        <f>_xlfn.XLOOKUP(S174,'[1]Governance Dimension_Topics'!$C$3:$C$16,'[1]Governance Dimension_Topics'!$B$3:$B$16,"None",0)</f>
        <v>Political Economy</v>
      </c>
      <c r="S174" s="6" t="s">
        <v>29</v>
      </c>
      <c r="T174" s="6" t="str">
        <f>_xlfn.XLOOKUP(U174,'[1]Governance Dimension_Topics'!$C$3:$C$16,'[1]Governance Dimension_Topics'!$B$3:$B$16,"None",0)</f>
        <v>Institutional</v>
      </c>
      <c r="U174" s="6" t="s">
        <v>51</v>
      </c>
      <c r="V174" s="6" t="str">
        <f>_xlfn.XLOOKUP(W174,'[1]Governance Dimension_Topics'!$C$3:$C$16,'[1]Governance Dimension_Topics'!$B$3:$B$16,"None",0)</f>
        <v>Institutional</v>
      </c>
      <c r="W174" s="6" t="s">
        <v>37</v>
      </c>
      <c r="X174" s="6" t="s">
        <v>31</v>
      </c>
      <c r="Y174" s="6"/>
    </row>
    <row r="175" spans="1:25" x14ac:dyDescent="0.25">
      <c r="A175" s="20" t="s">
        <v>278</v>
      </c>
      <c r="B175" s="21">
        <v>46066</v>
      </c>
      <c r="C175" s="6" t="s">
        <v>280</v>
      </c>
      <c r="D175" s="6" t="s">
        <v>266</v>
      </c>
      <c r="E175" s="6" t="s">
        <v>346</v>
      </c>
      <c r="F175" s="6" t="s">
        <v>34</v>
      </c>
      <c r="G175" s="6" t="s">
        <v>204</v>
      </c>
      <c r="H175" s="6" t="s">
        <v>347</v>
      </c>
      <c r="I175" s="6" t="s">
        <v>220</v>
      </c>
      <c r="J175" s="6"/>
      <c r="K175" s="6"/>
      <c r="L175" s="6" t="s">
        <v>171</v>
      </c>
      <c r="M175" s="6" t="s">
        <v>225</v>
      </c>
      <c r="N175" s="6" t="str">
        <f>_xlfn.XLOOKUP(O175,'[1]Governance Dimension_Topics'!$C$3:$C$16,'[1]Governance Dimension_Topics'!$B$3:$B$16,"None",0)</f>
        <v>Institutional</v>
      </c>
      <c r="O175" s="6" t="s">
        <v>37</v>
      </c>
      <c r="P175" s="6" t="str">
        <f>_xlfn.XLOOKUP(Q175,'[1]Governance Dimension_Topics'!$C$3:$C$16,'[1]Governance Dimension_Topics'!$B$3:$B$16,"None",0)</f>
        <v>Development</v>
      </c>
      <c r="Q175" s="6" t="s">
        <v>93</v>
      </c>
      <c r="R175" s="6" t="str">
        <f>_xlfn.XLOOKUP(S175,'[1]Governance Dimension_Topics'!$C$3:$C$16,'[1]Governance Dimension_Topics'!$B$3:$B$16,"None",0)</f>
        <v>Institutional</v>
      </c>
      <c r="S175" s="6" t="s">
        <v>51</v>
      </c>
      <c r="T175" s="6"/>
      <c r="U175" s="6"/>
      <c r="V175" s="6"/>
      <c r="W175" s="6"/>
      <c r="X175" s="6" t="s">
        <v>31</v>
      </c>
      <c r="Y175" s="6"/>
    </row>
    <row r="176" spans="1:25" x14ac:dyDescent="0.25">
      <c r="A176" s="20" t="s">
        <v>278</v>
      </c>
      <c r="B176" s="21">
        <v>46066</v>
      </c>
      <c r="C176" s="6" t="s">
        <v>280</v>
      </c>
      <c r="D176" s="6" t="s">
        <v>266</v>
      </c>
      <c r="E176" s="6" t="s">
        <v>324</v>
      </c>
      <c r="F176" s="6" t="s">
        <v>34</v>
      </c>
      <c r="G176" s="6" t="s">
        <v>204</v>
      </c>
      <c r="H176" s="6" t="s">
        <v>348</v>
      </c>
      <c r="I176" s="6" t="s">
        <v>220</v>
      </c>
      <c r="J176" s="6"/>
      <c r="K176" s="6"/>
      <c r="L176" s="6" t="s">
        <v>171</v>
      </c>
      <c r="M176" s="6" t="s">
        <v>225</v>
      </c>
      <c r="N176" s="6" t="str">
        <f>_xlfn.XLOOKUP(O176,'[1]Governance Dimension_Topics'!$C$3:$C$16,'[1]Governance Dimension_Topics'!$B$3:$B$16,"None",0)</f>
        <v>Institutional</v>
      </c>
      <c r="O176" s="6" t="s">
        <v>51</v>
      </c>
      <c r="P176" s="6" t="str">
        <f>_xlfn.XLOOKUP(Q176,'[1]Governance Dimension_Topics'!$C$3:$C$16,'[1]Governance Dimension_Topics'!$B$3:$B$16,"None",0)</f>
        <v>Institutional</v>
      </c>
      <c r="Q176" s="6" t="s">
        <v>37</v>
      </c>
      <c r="R176" s="6" t="str">
        <f>_xlfn.XLOOKUP(S176,'[1]Governance Dimension_Topics'!$C$3:$C$16,'[1]Governance Dimension_Topics'!$B$3:$B$16,"None",0)</f>
        <v>Development</v>
      </c>
      <c r="S176" s="6" t="s">
        <v>93</v>
      </c>
      <c r="T176" s="6"/>
      <c r="U176" s="6"/>
      <c r="V176" s="6"/>
      <c r="W176" s="6"/>
      <c r="X176" s="6" t="s">
        <v>31</v>
      </c>
      <c r="Y176" s="6"/>
    </row>
    <row r="177" spans="1:25" x14ac:dyDescent="0.25">
      <c r="A177" s="20" t="s">
        <v>278</v>
      </c>
      <c r="B177" s="21">
        <v>46066</v>
      </c>
      <c r="C177" s="6" t="s">
        <v>280</v>
      </c>
      <c r="D177" s="6" t="s">
        <v>266</v>
      </c>
      <c r="E177" s="6" t="s">
        <v>243</v>
      </c>
      <c r="F177" s="6" t="s">
        <v>34</v>
      </c>
      <c r="G177" s="6" t="s">
        <v>204</v>
      </c>
      <c r="H177" s="6" t="s">
        <v>349</v>
      </c>
      <c r="I177" s="6" t="s">
        <v>220</v>
      </c>
      <c r="J177" s="6"/>
      <c r="K177" s="6"/>
      <c r="L177" s="6" t="s">
        <v>171</v>
      </c>
      <c r="M177" s="6" t="s">
        <v>225</v>
      </c>
      <c r="N177" s="6" t="str">
        <f>_xlfn.XLOOKUP(O177,'[1]Governance Dimension_Topics'!$C$3:$C$16,'[1]Governance Dimension_Topics'!$B$3:$B$16,"None",0)</f>
        <v>Development</v>
      </c>
      <c r="O177" s="6" t="s">
        <v>111</v>
      </c>
      <c r="P177" s="6" t="str">
        <f>_xlfn.XLOOKUP(Q177,'[1]Governance Dimension_Topics'!$C$3:$C$16,'[1]Governance Dimension_Topics'!$B$3:$B$16,"None",0)</f>
        <v>Development</v>
      </c>
      <c r="Q177" s="6" t="s">
        <v>93</v>
      </c>
      <c r="R177" s="6" t="str">
        <f>_xlfn.XLOOKUP(S177,'[1]Governance Dimension_Topics'!$C$3:$C$16,'[1]Governance Dimension_Topics'!$B$3:$B$16,"None",0)</f>
        <v>Political Economy</v>
      </c>
      <c r="S177" s="6" t="s">
        <v>29</v>
      </c>
      <c r="T177" s="6" t="str">
        <f>_xlfn.XLOOKUP(U177,'[1]Governance Dimension_Topics'!$C$3:$C$16,'[1]Governance Dimension_Topics'!$B$3:$B$16,"None",0)</f>
        <v>Institutional</v>
      </c>
      <c r="U177" s="6" t="s">
        <v>37</v>
      </c>
      <c r="V177" s="6" t="str">
        <f>_xlfn.XLOOKUP(W177,'[1]Governance Dimension_Topics'!$C$3:$C$16,'[1]Governance Dimension_Topics'!$B$3:$B$16,"None",0)</f>
        <v>Institutional</v>
      </c>
      <c r="W177" s="6" t="s">
        <v>51</v>
      </c>
      <c r="X177" s="6" t="s">
        <v>31</v>
      </c>
      <c r="Y177" s="6"/>
    </row>
    <row r="178" spans="1:25" x14ac:dyDescent="0.25">
      <c r="A178" s="20" t="s">
        <v>278</v>
      </c>
      <c r="B178" s="21">
        <v>46066</v>
      </c>
      <c r="C178" s="6" t="s">
        <v>280</v>
      </c>
      <c r="D178" s="6" t="s">
        <v>266</v>
      </c>
      <c r="E178" s="6" t="s">
        <v>350</v>
      </c>
      <c r="F178" s="6" t="s">
        <v>34</v>
      </c>
      <c r="G178" s="6" t="s">
        <v>26</v>
      </c>
      <c r="H178" s="6" t="s">
        <v>351</v>
      </c>
      <c r="I178" s="6" t="s">
        <v>213</v>
      </c>
      <c r="J178" s="6" t="s">
        <v>174</v>
      </c>
      <c r="K178" s="6"/>
      <c r="L178" s="6" t="s">
        <v>171</v>
      </c>
      <c r="M178" s="6" t="s">
        <v>225</v>
      </c>
      <c r="N178" s="6" t="str">
        <f>_xlfn.XLOOKUP(O178,'[1]Governance Dimension_Topics'!$C$3:$C$16,'[1]Governance Dimension_Topics'!$B$3:$B$16,"None",0)</f>
        <v>Development</v>
      </c>
      <c r="O178" s="6" t="s">
        <v>93</v>
      </c>
      <c r="P178" s="6" t="str">
        <f>_xlfn.XLOOKUP(Q178,'[1]Governance Dimension_Topics'!$C$3:$C$16,'[1]Governance Dimension_Topics'!$B$3:$B$16,"None",0)</f>
        <v>Political Economy</v>
      </c>
      <c r="Q178" s="6" t="s">
        <v>29</v>
      </c>
      <c r="R178" s="6" t="str">
        <f>_xlfn.XLOOKUP(S178,'[1]Governance Dimension_Topics'!$C$3:$C$16,'[1]Governance Dimension_Topics'!$B$3:$B$16,"None",0)</f>
        <v>Institutional</v>
      </c>
      <c r="S178" s="6" t="s">
        <v>37</v>
      </c>
      <c r="T178" s="6"/>
      <c r="U178" s="6"/>
      <c r="V178" s="6"/>
      <c r="W178" s="6"/>
      <c r="X178" s="6" t="s">
        <v>31</v>
      </c>
      <c r="Y178" s="6"/>
    </row>
    <row r="179" spans="1:25" x14ac:dyDescent="0.25">
      <c r="A179" s="20" t="s">
        <v>278</v>
      </c>
      <c r="B179" s="21">
        <v>46066</v>
      </c>
      <c r="C179" s="6" t="s">
        <v>280</v>
      </c>
      <c r="D179" s="6" t="s">
        <v>266</v>
      </c>
      <c r="E179" s="6" t="s">
        <v>24</v>
      </c>
      <c r="F179" s="6" t="s">
        <v>34</v>
      </c>
      <c r="G179" s="6" t="s">
        <v>204</v>
      </c>
      <c r="H179" s="6" t="s">
        <v>352</v>
      </c>
      <c r="I179" s="6" t="s">
        <v>220</v>
      </c>
      <c r="J179" s="6"/>
      <c r="K179" s="6"/>
      <c r="L179" s="6" t="s">
        <v>171</v>
      </c>
      <c r="M179" s="6" t="s">
        <v>225</v>
      </c>
      <c r="N179" s="6" t="str">
        <f>_xlfn.XLOOKUP(O179,'[1]Governance Dimension_Topics'!$C$3:$C$16,'[1]Governance Dimension_Topics'!$B$3:$B$16,"None",0)</f>
        <v>Development</v>
      </c>
      <c r="O179" s="6" t="s">
        <v>111</v>
      </c>
      <c r="P179" s="6" t="str">
        <f>_xlfn.XLOOKUP(Q179,'[1]Governance Dimension_Topics'!$C$3:$C$16,'[1]Governance Dimension_Topics'!$B$3:$B$16,"None",0)</f>
        <v>Institutional</v>
      </c>
      <c r="Q179" s="6" t="s">
        <v>51</v>
      </c>
      <c r="R179" s="6" t="str">
        <f>_xlfn.XLOOKUP(S179,'[1]Governance Dimension_Topics'!$C$3:$C$16,'[1]Governance Dimension_Topics'!$B$3:$B$16,"None",0)</f>
        <v>Institutional</v>
      </c>
      <c r="S179" s="6" t="s">
        <v>37</v>
      </c>
      <c r="T179" s="6"/>
      <c r="U179" s="6"/>
      <c r="V179" s="6"/>
      <c r="W179" s="6"/>
      <c r="X179" s="6" t="s">
        <v>48</v>
      </c>
      <c r="Y179" s="6"/>
    </row>
    <row r="180" spans="1:25" x14ac:dyDescent="0.25">
      <c r="A180" s="20" t="s">
        <v>278</v>
      </c>
      <c r="B180" s="21">
        <v>46066</v>
      </c>
      <c r="C180" s="6" t="s">
        <v>280</v>
      </c>
      <c r="D180" s="6" t="s">
        <v>266</v>
      </c>
      <c r="E180" s="6" t="s">
        <v>68</v>
      </c>
      <c r="F180" s="6" t="s">
        <v>34</v>
      </c>
      <c r="G180" s="6" t="s">
        <v>26</v>
      </c>
      <c r="H180" s="6" t="s">
        <v>353</v>
      </c>
      <c r="I180" s="6" t="s">
        <v>231</v>
      </c>
      <c r="J180" s="6" t="s">
        <v>174</v>
      </c>
      <c r="K180" s="6"/>
      <c r="L180" s="6" t="s">
        <v>171</v>
      </c>
      <c r="M180" s="6" t="s">
        <v>225</v>
      </c>
      <c r="N180" s="6" t="str">
        <f>_xlfn.XLOOKUP(O180,'[1]Governance Dimension_Topics'!$C$3:$C$16,'[1]Governance Dimension_Topics'!$B$3:$B$16,"None",0)</f>
        <v>Economic</v>
      </c>
      <c r="O180" s="6" t="s">
        <v>35</v>
      </c>
      <c r="P180" s="6" t="str">
        <f>_xlfn.XLOOKUP(Q180,'[1]Governance Dimension_Topics'!$C$3:$C$16,'[1]Governance Dimension_Topics'!$B$3:$B$16,"None",0)</f>
        <v>Economic</v>
      </c>
      <c r="Q180" s="6" t="s">
        <v>105</v>
      </c>
      <c r="R180" s="6" t="str">
        <f>_xlfn.XLOOKUP(S180,'[1]Governance Dimension_Topics'!$C$3:$C$16,'[1]Governance Dimension_Topics'!$B$3:$B$16,"None",0)</f>
        <v>Development</v>
      </c>
      <c r="S180" s="6" t="s">
        <v>93</v>
      </c>
      <c r="T180" s="6" t="str">
        <f>_xlfn.XLOOKUP(U180,'[1]Governance Dimension_Topics'!$C$3:$C$16,'[1]Governance Dimension_Topics'!$B$3:$B$16,"None",0)</f>
        <v>Institutional</v>
      </c>
      <c r="U180" s="6" t="s">
        <v>51</v>
      </c>
      <c r="V180" s="6" t="str">
        <f>_xlfn.XLOOKUP(W180,'[1]Governance Dimension_Topics'!$C$3:$C$16,'[1]Governance Dimension_Topics'!$B$3:$B$16,"None",0)</f>
        <v>Institutional</v>
      </c>
      <c r="W180" s="6" t="s">
        <v>37</v>
      </c>
      <c r="X180" s="6" t="s">
        <v>31</v>
      </c>
      <c r="Y180" s="6"/>
    </row>
    <row r="181" spans="1:25" x14ac:dyDescent="0.25">
      <c r="A181" s="20" t="s">
        <v>278</v>
      </c>
      <c r="B181" s="21">
        <v>46066</v>
      </c>
      <c r="C181" s="6" t="s">
        <v>280</v>
      </c>
      <c r="D181" s="6" t="s">
        <v>266</v>
      </c>
      <c r="E181" s="6" t="s">
        <v>70</v>
      </c>
      <c r="F181" s="6" t="s">
        <v>34</v>
      </c>
      <c r="G181" s="6" t="s">
        <v>59</v>
      </c>
      <c r="H181" s="6" t="s">
        <v>354</v>
      </c>
      <c r="I181" s="6" t="s">
        <v>231</v>
      </c>
      <c r="J181" s="6"/>
      <c r="K181" s="6"/>
      <c r="L181" s="6" t="s">
        <v>171</v>
      </c>
      <c r="M181" s="6" t="s">
        <v>225</v>
      </c>
      <c r="N181" s="6" t="str">
        <f>_xlfn.XLOOKUP(O181,'[1]Governance Dimension_Topics'!$C$3:$C$16,'[1]Governance Dimension_Topics'!$B$3:$B$16,"None",0)</f>
        <v>Institutional</v>
      </c>
      <c r="O181" s="6" t="s">
        <v>51</v>
      </c>
      <c r="P181" s="6" t="str">
        <f>_xlfn.XLOOKUP(Q181,'[1]Governance Dimension_Topics'!$C$3:$C$16,'[1]Governance Dimension_Topics'!$B$3:$B$16,"None",0)</f>
        <v>Institutional</v>
      </c>
      <c r="Q181" s="6" t="s">
        <v>37</v>
      </c>
      <c r="R181" s="6" t="str">
        <f>_xlfn.XLOOKUP(S181,'[1]Governance Dimension_Topics'!$C$3:$C$16,'[1]Governance Dimension_Topics'!$B$3:$B$16,"None",0)</f>
        <v>Economic</v>
      </c>
      <c r="S181" s="6" t="s">
        <v>35</v>
      </c>
      <c r="T181" s="6"/>
      <c r="U181" s="6"/>
      <c r="V181" s="6"/>
      <c r="W181" s="6"/>
      <c r="X181" s="6" t="s">
        <v>31</v>
      </c>
      <c r="Y181" s="6"/>
    </row>
    <row r="182" spans="1:25" x14ac:dyDescent="0.25">
      <c r="A182" s="20" t="s">
        <v>278</v>
      </c>
      <c r="B182" s="21">
        <v>46066</v>
      </c>
      <c r="C182" s="6" t="s">
        <v>280</v>
      </c>
      <c r="D182" s="6" t="s">
        <v>266</v>
      </c>
      <c r="E182" s="6" t="s">
        <v>181</v>
      </c>
      <c r="F182" s="6" t="s">
        <v>34</v>
      </c>
      <c r="G182" s="6" t="s">
        <v>59</v>
      </c>
      <c r="H182" s="6" t="s">
        <v>355</v>
      </c>
      <c r="I182" s="6" t="s">
        <v>231</v>
      </c>
      <c r="J182" s="6"/>
      <c r="K182" s="6"/>
      <c r="L182" s="6" t="s">
        <v>171</v>
      </c>
      <c r="M182" s="6" t="s">
        <v>225</v>
      </c>
      <c r="N182" s="6" t="str">
        <f>_xlfn.XLOOKUP(O182,'[1]Governance Dimension_Topics'!$C$3:$C$16,'[1]Governance Dimension_Topics'!$B$3:$B$16,"None",0)</f>
        <v>Institutional</v>
      </c>
      <c r="O182" s="6" t="s">
        <v>51</v>
      </c>
      <c r="P182" s="6" t="str">
        <f>_xlfn.XLOOKUP(Q182,'[1]Governance Dimension_Topics'!$C$3:$C$16,'[1]Governance Dimension_Topics'!$B$3:$B$16,"None",0)</f>
        <v>Institutional</v>
      </c>
      <c r="Q182" s="6" t="s">
        <v>37</v>
      </c>
      <c r="R182" s="6" t="str">
        <f>_xlfn.XLOOKUP(S182,'[1]Governance Dimension_Topics'!$C$3:$C$16,'[1]Governance Dimension_Topics'!$B$3:$B$16,"None",0)</f>
        <v>Development</v>
      </c>
      <c r="S182" s="6" t="s">
        <v>93</v>
      </c>
      <c r="T182" s="6"/>
      <c r="U182" s="6"/>
      <c r="V182" s="6"/>
      <c r="W182" s="6"/>
      <c r="X182" s="6" t="s">
        <v>31</v>
      </c>
      <c r="Y182" s="6"/>
    </row>
    <row r="183" spans="1:25" x14ac:dyDescent="0.25">
      <c r="A183" s="20" t="s">
        <v>278</v>
      </c>
      <c r="B183" s="21">
        <v>46066</v>
      </c>
      <c r="C183" s="6" t="s">
        <v>280</v>
      </c>
      <c r="D183" s="6" t="s">
        <v>266</v>
      </c>
      <c r="E183" s="6" t="s">
        <v>356</v>
      </c>
      <c r="F183" s="6" t="s">
        <v>25</v>
      </c>
      <c r="G183" s="6" t="s">
        <v>59</v>
      </c>
      <c r="H183" s="6" t="s">
        <v>357</v>
      </c>
      <c r="I183" s="6" t="s">
        <v>231</v>
      </c>
      <c r="J183" s="6"/>
      <c r="K183" s="6"/>
      <c r="L183" s="6" t="s">
        <v>171</v>
      </c>
      <c r="M183" s="6" t="s">
        <v>225</v>
      </c>
      <c r="N183" s="6" t="str">
        <f>_xlfn.XLOOKUP(O183,'[1]Governance Dimension_Topics'!$C$3:$C$16,'[1]Governance Dimension_Topics'!$B$3:$B$16,"None",0)</f>
        <v>Development</v>
      </c>
      <c r="O183" s="6" t="s">
        <v>93</v>
      </c>
      <c r="P183" s="6" t="str">
        <f>_xlfn.XLOOKUP(Q183,'[1]Governance Dimension_Topics'!$C$3:$C$16,'[1]Governance Dimension_Topics'!$B$3:$B$16,"None",0)</f>
        <v>Development</v>
      </c>
      <c r="Q183" s="6" t="s">
        <v>188</v>
      </c>
      <c r="R183" s="6" t="str">
        <f>_xlfn.XLOOKUP(S183,'[1]Governance Dimension_Topics'!$C$3:$C$16,'[1]Governance Dimension_Topics'!$B$3:$B$16,"None",0)</f>
        <v>Institutional</v>
      </c>
      <c r="S183" s="6" t="s">
        <v>37</v>
      </c>
      <c r="T183" s="6"/>
      <c r="U183" s="6"/>
      <c r="V183" s="6"/>
      <c r="W183" s="6"/>
      <c r="X183" s="6" t="s">
        <v>31</v>
      </c>
      <c r="Y183" s="6"/>
    </row>
    <row r="184" spans="1:25" x14ac:dyDescent="0.25">
      <c r="A184" s="20" t="s">
        <v>278</v>
      </c>
      <c r="B184" s="21">
        <v>46066</v>
      </c>
      <c r="C184" s="6" t="s">
        <v>280</v>
      </c>
      <c r="D184" s="6" t="s">
        <v>266</v>
      </c>
      <c r="E184" s="6" t="s">
        <v>104</v>
      </c>
      <c r="F184" s="6" t="s">
        <v>34</v>
      </c>
      <c r="G184" s="6" t="s">
        <v>59</v>
      </c>
      <c r="H184" s="6" t="s">
        <v>358</v>
      </c>
      <c r="I184" s="6" t="s">
        <v>231</v>
      </c>
      <c r="J184" s="6"/>
      <c r="K184" s="6"/>
      <c r="L184" s="6" t="s">
        <v>171</v>
      </c>
      <c r="M184" s="6" t="s">
        <v>225</v>
      </c>
      <c r="N184" s="6" t="str">
        <f>_xlfn.XLOOKUP(O184,'[1]Governance Dimension_Topics'!$C$3:$C$16,'[1]Governance Dimension_Topics'!$B$3:$B$16,"None",0)</f>
        <v>Legal</v>
      </c>
      <c r="O184" s="6" t="s">
        <v>94</v>
      </c>
      <c r="P184" s="6" t="str">
        <f>_xlfn.XLOOKUP(Q184,'[1]Governance Dimension_Topics'!$C$3:$C$16,'[1]Governance Dimension_Topics'!$B$3:$B$16,"None",0)</f>
        <v>Institutional</v>
      </c>
      <c r="Q184" s="6" t="s">
        <v>37</v>
      </c>
      <c r="R184" s="6" t="str">
        <f>_xlfn.XLOOKUP(S184,'[1]Governance Dimension_Topics'!$C$3:$C$16,'[1]Governance Dimension_Topics'!$B$3:$B$16,"None",0)</f>
        <v>Institutional</v>
      </c>
      <c r="S184" s="6" t="s">
        <v>51</v>
      </c>
      <c r="T184" s="6" t="str">
        <f>_xlfn.XLOOKUP(U184,'[1]Governance Dimension_Topics'!$C$3:$C$16,'[1]Governance Dimension_Topics'!$B$3:$B$16,"None",0)</f>
        <v>Economic</v>
      </c>
      <c r="U184" s="6" t="s">
        <v>35</v>
      </c>
      <c r="V184" s="6"/>
      <c r="W184" s="6"/>
      <c r="X184" s="6" t="s">
        <v>31</v>
      </c>
      <c r="Y184" s="6"/>
    </row>
    <row r="185" spans="1:25" x14ac:dyDescent="0.25">
      <c r="A185" s="20" t="s">
        <v>278</v>
      </c>
      <c r="B185" s="21">
        <v>46066</v>
      </c>
      <c r="C185" s="6" t="s">
        <v>280</v>
      </c>
      <c r="D185" s="6" t="s">
        <v>266</v>
      </c>
      <c r="E185" s="6" t="s">
        <v>123</v>
      </c>
      <c r="F185" s="6" t="s">
        <v>34</v>
      </c>
      <c r="G185" s="6" t="s">
        <v>59</v>
      </c>
      <c r="H185" s="6" t="s">
        <v>359</v>
      </c>
      <c r="I185" s="6" t="s">
        <v>231</v>
      </c>
      <c r="J185" s="6"/>
      <c r="K185" s="6"/>
      <c r="L185" s="6" t="s">
        <v>171</v>
      </c>
      <c r="M185" s="6" t="s">
        <v>225</v>
      </c>
      <c r="N185" s="6" t="str">
        <f>_xlfn.XLOOKUP(O185,'[1]Governance Dimension_Topics'!$C$3:$C$16,'[1]Governance Dimension_Topics'!$B$3:$B$16,"None",0)</f>
        <v>Institutional</v>
      </c>
      <c r="O185" s="6" t="s">
        <v>37</v>
      </c>
      <c r="P185" s="6" t="str">
        <f>_xlfn.XLOOKUP(Q185,'[1]Governance Dimension_Topics'!$C$3:$C$16,'[1]Governance Dimension_Topics'!$B$3:$B$16,"None",0)</f>
        <v>Institutional</v>
      </c>
      <c r="Q185" s="6" t="s">
        <v>51</v>
      </c>
      <c r="R185" s="6" t="str">
        <f>_xlfn.XLOOKUP(S185,'[1]Governance Dimension_Topics'!$C$3:$C$16,'[1]Governance Dimension_Topics'!$B$3:$B$16,"None",0)</f>
        <v>Legal</v>
      </c>
      <c r="S185" s="6" t="s">
        <v>94</v>
      </c>
      <c r="T185" s="6"/>
      <c r="U185" s="6"/>
      <c r="V185" s="6"/>
      <c r="W185" s="6"/>
      <c r="X185" s="6" t="s">
        <v>31</v>
      </c>
      <c r="Y185" s="6"/>
    </row>
    <row r="186" spans="1:25" x14ac:dyDescent="0.25">
      <c r="A186" s="20" t="s">
        <v>278</v>
      </c>
      <c r="B186" s="21">
        <v>46066</v>
      </c>
      <c r="C186" s="6" t="s">
        <v>280</v>
      </c>
      <c r="D186" s="6" t="s">
        <v>266</v>
      </c>
      <c r="E186" s="6" t="s">
        <v>182</v>
      </c>
      <c r="F186" s="6" t="s">
        <v>34</v>
      </c>
      <c r="G186" s="6" t="s">
        <v>59</v>
      </c>
      <c r="H186" s="6" t="s">
        <v>360</v>
      </c>
      <c r="I186" s="6" t="s">
        <v>231</v>
      </c>
      <c r="J186" s="6"/>
      <c r="K186" s="6"/>
      <c r="L186" s="6" t="s">
        <v>171</v>
      </c>
      <c r="M186" s="6" t="s">
        <v>225</v>
      </c>
      <c r="N186" s="6" t="str">
        <f>_xlfn.XLOOKUP(O186,'[1]Governance Dimension_Topics'!$C$3:$C$16,'[1]Governance Dimension_Topics'!$B$3:$B$16,"None",0)</f>
        <v>Development</v>
      </c>
      <c r="O186" s="6" t="s">
        <v>93</v>
      </c>
      <c r="P186" s="6" t="str">
        <f>_xlfn.XLOOKUP(Q186,'[1]Governance Dimension_Topics'!$C$3:$C$16,'[1]Governance Dimension_Topics'!$B$3:$B$16,"None",0)</f>
        <v>Institutional</v>
      </c>
      <c r="Q186" s="6" t="s">
        <v>37</v>
      </c>
      <c r="R186" s="6"/>
      <c r="S186" s="6"/>
      <c r="T186" s="6"/>
      <c r="U186" s="6"/>
      <c r="V186" s="6"/>
      <c r="W186" s="6"/>
      <c r="X186" s="6" t="s">
        <v>31</v>
      </c>
      <c r="Y186" s="6"/>
    </row>
    <row r="187" spans="1:25" x14ac:dyDescent="0.25">
      <c r="A187" s="20" t="s">
        <v>278</v>
      </c>
      <c r="B187" s="21">
        <v>46066</v>
      </c>
      <c r="C187" s="6" t="s">
        <v>280</v>
      </c>
      <c r="D187" s="6" t="s">
        <v>266</v>
      </c>
      <c r="E187" s="6" t="s">
        <v>301</v>
      </c>
      <c r="F187" s="6" t="s">
        <v>34</v>
      </c>
      <c r="G187" s="6" t="s">
        <v>59</v>
      </c>
      <c r="H187" s="6" t="s">
        <v>361</v>
      </c>
      <c r="I187" s="6" t="s">
        <v>231</v>
      </c>
      <c r="J187" s="6"/>
      <c r="K187" s="6"/>
      <c r="L187" s="6" t="s">
        <v>171</v>
      </c>
      <c r="M187" s="6" t="s">
        <v>225</v>
      </c>
      <c r="N187" s="6" t="str">
        <f>_xlfn.XLOOKUP(O187,'[1]Governance Dimension_Topics'!$C$3:$C$16,'[1]Governance Dimension_Topics'!$B$3:$B$16,"None",0)</f>
        <v>Legal</v>
      </c>
      <c r="O187" s="6" t="s">
        <v>94</v>
      </c>
      <c r="P187" s="6" t="str">
        <f>_xlfn.XLOOKUP(Q187,'[1]Governance Dimension_Topics'!$C$3:$C$16,'[1]Governance Dimension_Topics'!$B$3:$B$16,"None",0)</f>
        <v>Institutional</v>
      </c>
      <c r="Q187" s="6" t="s">
        <v>51</v>
      </c>
      <c r="R187" s="6" t="str">
        <f>_xlfn.XLOOKUP(S187,'[1]Governance Dimension_Topics'!$C$3:$C$16,'[1]Governance Dimension_Topics'!$B$3:$B$16,"None",0)</f>
        <v>Institutional</v>
      </c>
      <c r="S187" s="6" t="s">
        <v>37</v>
      </c>
      <c r="T187" s="6" t="str">
        <f>_xlfn.XLOOKUP(U187,'[1]Governance Dimension_Topics'!$C$3:$C$16,'[1]Governance Dimension_Topics'!$B$3:$B$16,"None",0)</f>
        <v>Development</v>
      </c>
      <c r="U187" s="6" t="s">
        <v>93</v>
      </c>
      <c r="V187" s="6" t="str">
        <f>_xlfn.XLOOKUP(W187,'[1]Governance Dimension_Topics'!$C$3:$C$16,'[1]Governance Dimension_Topics'!$B$3:$B$16,"None",0)</f>
        <v>Economic</v>
      </c>
      <c r="W187" s="6" t="s">
        <v>35</v>
      </c>
      <c r="X187" s="6" t="s">
        <v>31</v>
      </c>
      <c r="Y187" s="6"/>
    </row>
    <row r="188" spans="1:25" x14ac:dyDescent="0.25">
      <c r="A188" s="20" t="s">
        <v>278</v>
      </c>
      <c r="B188" s="21">
        <v>46066</v>
      </c>
      <c r="C188" s="6" t="s">
        <v>280</v>
      </c>
      <c r="D188" s="6" t="s">
        <v>266</v>
      </c>
      <c r="E188" s="6" t="s">
        <v>74</v>
      </c>
      <c r="F188" s="6" t="s">
        <v>34</v>
      </c>
      <c r="G188" s="6" t="s">
        <v>59</v>
      </c>
      <c r="H188" s="6" t="s">
        <v>362</v>
      </c>
      <c r="I188" s="6" t="s">
        <v>231</v>
      </c>
      <c r="J188" s="6"/>
      <c r="K188" s="6"/>
      <c r="L188" s="6" t="s">
        <v>171</v>
      </c>
      <c r="M188" s="6" t="s">
        <v>225</v>
      </c>
      <c r="N188" s="6" t="str">
        <f>_xlfn.XLOOKUP(O188,'[1]Governance Dimension_Topics'!$C$3:$C$16,'[1]Governance Dimension_Topics'!$B$3:$B$16,"None",0)</f>
        <v>Legal</v>
      </c>
      <c r="O188" s="6" t="s">
        <v>39</v>
      </c>
      <c r="P188" s="6" t="str">
        <f>_xlfn.XLOOKUP(Q188,'[1]Governance Dimension_Topics'!$C$3:$C$16,'[1]Governance Dimension_Topics'!$B$3:$B$16,"None",0)</f>
        <v>Development</v>
      </c>
      <c r="Q188" s="6" t="s">
        <v>93</v>
      </c>
      <c r="R188" s="6" t="str">
        <f>_xlfn.XLOOKUP(S188,'[1]Governance Dimension_Topics'!$C$3:$C$16,'[1]Governance Dimension_Topics'!$B$3:$B$16,"None",0)</f>
        <v>Institutional</v>
      </c>
      <c r="S188" s="6" t="s">
        <v>37</v>
      </c>
      <c r="T188" s="6"/>
      <c r="U188" s="6"/>
      <c r="V188" s="6"/>
      <c r="W188" s="6"/>
      <c r="X188" s="6" t="s">
        <v>31</v>
      </c>
      <c r="Y188" s="6"/>
    </row>
    <row r="189" spans="1:25" x14ac:dyDescent="0.25">
      <c r="A189" s="20" t="s">
        <v>278</v>
      </c>
      <c r="B189" s="21">
        <v>46066</v>
      </c>
      <c r="C189" s="6" t="s">
        <v>280</v>
      </c>
      <c r="D189" s="6" t="s">
        <v>266</v>
      </c>
      <c r="E189" s="6" t="s">
        <v>64</v>
      </c>
      <c r="F189" s="6" t="s">
        <v>34</v>
      </c>
      <c r="G189" s="6" t="s">
        <v>59</v>
      </c>
      <c r="H189" s="6" t="s">
        <v>363</v>
      </c>
      <c r="I189" s="6" t="s">
        <v>231</v>
      </c>
      <c r="J189" s="6"/>
      <c r="K189" s="6"/>
      <c r="L189" s="6" t="s">
        <v>171</v>
      </c>
      <c r="M189" s="6" t="s">
        <v>225</v>
      </c>
      <c r="N189" s="6" t="str">
        <f>_xlfn.XLOOKUP(O189,'[1]Governance Dimension_Topics'!$C$3:$C$16,'[1]Governance Dimension_Topics'!$B$3:$B$16,"None",0)</f>
        <v>Legal</v>
      </c>
      <c r="O189" s="6" t="s">
        <v>39</v>
      </c>
      <c r="P189" s="6" t="str">
        <f>_xlfn.XLOOKUP(Q189,'[1]Governance Dimension_Topics'!$C$3:$C$16,'[1]Governance Dimension_Topics'!$B$3:$B$16,"None",0)</f>
        <v>Institutional</v>
      </c>
      <c r="Q189" s="6" t="s">
        <v>37</v>
      </c>
      <c r="R189" s="6" t="str">
        <f>_xlfn.XLOOKUP(S189,'[1]Governance Dimension_Topics'!$C$3:$C$16,'[1]Governance Dimension_Topics'!$B$3:$B$16,"None",0)</f>
        <v>Regulatory</v>
      </c>
      <c r="S189" s="6" t="s">
        <v>157</v>
      </c>
      <c r="T189" s="6" t="str">
        <f>_xlfn.XLOOKUP(U189,'[1]Governance Dimension_Topics'!$C$3:$C$16,'[1]Governance Dimension_Topics'!$B$3:$B$16,"None",0)</f>
        <v>Development</v>
      </c>
      <c r="U189" s="6" t="s">
        <v>93</v>
      </c>
      <c r="V189" s="6" t="str">
        <f>_xlfn.XLOOKUP(W189,'[1]Governance Dimension_Topics'!$C$3:$C$16,'[1]Governance Dimension_Topics'!$B$3:$B$16,"None",0)</f>
        <v>Economic</v>
      </c>
      <c r="W189" s="6" t="s">
        <v>147</v>
      </c>
      <c r="X189" s="6" t="s">
        <v>31</v>
      </c>
      <c r="Y189" s="6"/>
    </row>
    <row r="190" spans="1:25" x14ac:dyDescent="0.25">
      <c r="A190" s="20" t="s">
        <v>278</v>
      </c>
      <c r="B190" s="21">
        <v>46066</v>
      </c>
      <c r="C190" s="6" t="s">
        <v>280</v>
      </c>
      <c r="D190" s="6" t="s">
        <v>266</v>
      </c>
      <c r="E190" s="6" t="s">
        <v>76</v>
      </c>
      <c r="F190" s="6" t="s">
        <v>34</v>
      </c>
      <c r="G190" s="6" t="s">
        <v>59</v>
      </c>
      <c r="H190" s="6" t="s">
        <v>364</v>
      </c>
      <c r="I190" s="6" t="s">
        <v>231</v>
      </c>
      <c r="J190" s="6"/>
      <c r="K190" s="6"/>
      <c r="L190" s="6" t="s">
        <v>171</v>
      </c>
      <c r="M190" s="6" t="s">
        <v>225</v>
      </c>
      <c r="N190" s="6" t="str">
        <f>_xlfn.XLOOKUP(O190,'[1]Governance Dimension_Topics'!$C$3:$C$16,'[1]Governance Dimension_Topics'!$B$3:$B$16,"None",0)</f>
        <v>Economic</v>
      </c>
      <c r="O190" s="6" t="s">
        <v>35</v>
      </c>
      <c r="P190" s="6" t="str">
        <f>_xlfn.XLOOKUP(Q190,'[1]Governance Dimension_Topics'!$C$3:$C$16,'[1]Governance Dimension_Topics'!$B$3:$B$16,"None",0)</f>
        <v>Development</v>
      </c>
      <c r="Q190" s="6" t="s">
        <v>93</v>
      </c>
      <c r="R190" s="6" t="str">
        <f>_xlfn.XLOOKUP(S190,'[1]Governance Dimension_Topics'!$C$3:$C$16,'[1]Governance Dimension_Topics'!$B$3:$B$16,"None",0)</f>
        <v>Institutional</v>
      </c>
      <c r="S190" s="6" t="s">
        <v>51</v>
      </c>
      <c r="T190" s="6" t="str">
        <f>_xlfn.XLOOKUP(U190,'[1]Governance Dimension_Topics'!$C$3:$C$16,'[1]Governance Dimension_Topics'!$B$3:$B$16,"None",0)</f>
        <v>Institutional</v>
      </c>
      <c r="U190" s="6" t="s">
        <v>37</v>
      </c>
      <c r="V190" s="6" t="str">
        <f>_xlfn.XLOOKUP(W190,'[1]Governance Dimension_Topics'!$C$3:$C$16,'[1]Governance Dimension_Topics'!$B$3:$B$16,"None",0)</f>
        <v>Legal</v>
      </c>
      <c r="W190" s="6" t="s">
        <v>94</v>
      </c>
      <c r="X190" s="6" t="s">
        <v>31</v>
      </c>
      <c r="Y190" s="6"/>
    </row>
    <row r="191" spans="1:25" x14ac:dyDescent="0.25">
      <c r="A191" s="20" t="s">
        <v>278</v>
      </c>
      <c r="B191" s="21">
        <v>46066</v>
      </c>
      <c r="C191" s="6" t="s">
        <v>280</v>
      </c>
      <c r="D191" s="6" t="s">
        <v>266</v>
      </c>
      <c r="E191" s="6" t="s">
        <v>45</v>
      </c>
      <c r="F191" s="6" t="s">
        <v>25</v>
      </c>
      <c r="G191" s="6" t="s">
        <v>59</v>
      </c>
      <c r="H191" s="6" t="s">
        <v>365</v>
      </c>
      <c r="I191" s="6" t="s">
        <v>231</v>
      </c>
      <c r="J191" s="6"/>
      <c r="K191" s="6"/>
      <c r="L191" s="6" t="s">
        <v>171</v>
      </c>
      <c r="M191" s="6" t="s">
        <v>225</v>
      </c>
      <c r="N191" s="6" t="str">
        <f>_xlfn.XLOOKUP(O191,'[1]Governance Dimension_Topics'!$C$3:$C$16,'[1]Governance Dimension_Topics'!$B$3:$B$16,"None",0)</f>
        <v>Economic</v>
      </c>
      <c r="O191" s="6" t="s">
        <v>105</v>
      </c>
      <c r="P191" s="6" t="str">
        <f>_xlfn.XLOOKUP(Q191,'[1]Governance Dimension_Topics'!$C$3:$C$16,'[1]Governance Dimension_Topics'!$B$3:$B$16,"None",0)</f>
        <v>Development</v>
      </c>
      <c r="Q191" s="6" t="s">
        <v>188</v>
      </c>
      <c r="R191" s="6" t="str">
        <f>_xlfn.XLOOKUP(S191,'[1]Governance Dimension_Topics'!$C$3:$C$16,'[1]Governance Dimension_Topics'!$B$3:$B$16,"None",0)</f>
        <v>Legal</v>
      </c>
      <c r="S191" s="6" t="s">
        <v>39</v>
      </c>
      <c r="T191" s="6" t="str">
        <f>_xlfn.XLOOKUP(U191,'[1]Governance Dimension_Topics'!$C$3:$C$16,'[1]Governance Dimension_Topics'!$B$3:$B$16,"None",0)</f>
        <v>Legal</v>
      </c>
      <c r="U191" s="6" t="s">
        <v>94</v>
      </c>
      <c r="V191" s="6" t="str">
        <f>_xlfn.XLOOKUP(W191,'[1]Governance Dimension_Topics'!$C$3:$C$16,'[1]Governance Dimension_Topics'!$B$3:$B$16,"None",0)</f>
        <v>Institutional</v>
      </c>
      <c r="W191" s="6" t="s">
        <v>37</v>
      </c>
      <c r="X191" s="6" t="s">
        <v>31</v>
      </c>
      <c r="Y191" s="6"/>
    </row>
    <row r="192" spans="1:25" x14ac:dyDescent="0.25">
      <c r="A192" s="20" t="s">
        <v>278</v>
      </c>
      <c r="B192" s="21">
        <v>46066</v>
      </c>
      <c r="C192" s="6" t="s">
        <v>280</v>
      </c>
      <c r="D192" s="6" t="s">
        <v>266</v>
      </c>
      <c r="E192" s="6" t="s">
        <v>78</v>
      </c>
      <c r="F192" s="6" t="s">
        <v>34</v>
      </c>
      <c r="G192" s="6" t="s">
        <v>59</v>
      </c>
      <c r="H192" s="6" t="s">
        <v>366</v>
      </c>
      <c r="I192" s="6" t="s">
        <v>231</v>
      </c>
      <c r="J192" s="6"/>
      <c r="K192" s="6"/>
      <c r="L192" s="6" t="s">
        <v>171</v>
      </c>
      <c r="M192" s="6" t="s">
        <v>225</v>
      </c>
      <c r="N192" s="6" t="str">
        <f>_xlfn.XLOOKUP(O192,'[1]Governance Dimension_Topics'!$C$3:$C$16,'[1]Governance Dimension_Topics'!$B$3:$B$16,"None",0)</f>
        <v>Institutional</v>
      </c>
      <c r="O192" s="6" t="s">
        <v>51</v>
      </c>
      <c r="P192" s="6" t="str">
        <f>_xlfn.XLOOKUP(Q192,'[1]Governance Dimension_Topics'!$C$3:$C$16,'[1]Governance Dimension_Topics'!$B$3:$B$16,"None",0)</f>
        <v>Institutional</v>
      </c>
      <c r="Q192" s="6" t="s">
        <v>37</v>
      </c>
      <c r="R192" s="6"/>
      <c r="S192" s="6"/>
      <c r="T192" s="6"/>
      <c r="U192" s="6"/>
      <c r="V192" s="6"/>
      <c r="W192" s="6"/>
      <c r="X192" s="6" t="s">
        <v>31</v>
      </c>
      <c r="Y192" s="6"/>
    </row>
    <row r="193" spans="1:25" x14ac:dyDescent="0.25">
      <c r="A193" s="20" t="s">
        <v>278</v>
      </c>
      <c r="B193" s="21">
        <v>46066</v>
      </c>
      <c r="C193" s="6" t="s">
        <v>280</v>
      </c>
      <c r="D193" s="6" t="s">
        <v>266</v>
      </c>
      <c r="E193" s="6" t="s">
        <v>367</v>
      </c>
      <c r="F193" s="6" t="s">
        <v>34</v>
      </c>
      <c r="G193" s="6" t="s">
        <v>59</v>
      </c>
      <c r="H193" s="6" t="s">
        <v>368</v>
      </c>
      <c r="I193" s="6" t="s">
        <v>231</v>
      </c>
      <c r="J193" s="6"/>
      <c r="K193" s="6"/>
      <c r="L193" s="6" t="s">
        <v>171</v>
      </c>
      <c r="M193" s="6" t="s">
        <v>225</v>
      </c>
      <c r="N193" s="6" t="str">
        <f>_xlfn.XLOOKUP(O193,'[1]Governance Dimension_Topics'!$C$3:$C$16,'[1]Governance Dimension_Topics'!$B$3:$B$16,"None",0)</f>
        <v>Institutional</v>
      </c>
      <c r="O193" s="6" t="s">
        <v>37</v>
      </c>
      <c r="P193" s="6" t="str">
        <f>_xlfn.XLOOKUP(Q193,'[1]Governance Dimension_Topics'!$C$3:$C$16,'[1]Governance Dimension_Topics'!$B$3:$B$16,"None",0)</f>
        <v>Legal</v>
      </c>
      <c r="Q193" s="6" t="s">
        <v>94</v>
      </c>
      <c r="R193" s="6" t="str">
        <f>_xlfn.XLOOKUP(S193,'[1]Governance Dimension_Topics'!$C$3:$C$16,'[1]Governance Dimension_Topics'!$B$3:$B$16,"None",0)</f>
        <v>Development</v>
      </c>
      <c r="S193" s="6" t="s">
        <v>93</v>
      </c>
      <c r="T193" s="6"/>
      <c r="U193" s="6"/>
      <c r="V193" s="6"/>
      <c r="W193" s="6"/>
      <c r="X193" s="6" t="s">
        <v>48</v>
      </c>
      <c r="Y193" s="6"/>
    </row>
    <row r="194" spans="1:25" x14ac:dyDescent="0.25">
      <c r="A194" s="20" t="s">
        <v>278</v>
      </c>
      <c r="B194" s="21">
        <v>46066</v>
      </c>
      <c r="C194" s="6" t="s">
        <v>280</v>
      </c>
      <c r="D194" s="6" t="s">
        <v>266</v>
      </c>
      <c r="E194" s="6" t="s">
        <v>33</v>
      </c>
      <c r="F194" s="6" t="s">
        <v>230</v>
      </c>
      <c r="G194" s="6" t="s">
        <v>59</v>
      </c>
      <c r="H194" s="6" t="s">
        <v>369</v>
      </c>
      <c r="I194" s="6" t="s">
        <v>231</v>
      </c>
      <c r="J194" s="6"/>
      <c r="K194" s="6"/>
      <c r="L194" s="6" t="s">
        <v>171</v>
      </c>
      <c r="M194" s="6" t="s">
        <v>225</v>
      </c>
      <c r="N194" s="6" t="str">
        <f>_xlfn.XLOOKUP(O194,'[1]Governance Dimension_Topics'!$C$3:$C$16,'[1]Governance Dimension_Topics'!$B$3:$B$16,"None",0)</f>
        <v>Technical</v>
      </c>
      <c r="O194" s="6" t="s">
        <v>193</v>
      </c>
      <c r="P194" s="6" t="str">
        <f>_xlfn.XLOOKUP(Q194,'[1]Governance Dimension_Topics'!$C$3:$C$16,'[1]Governance Dimension_Topics'!$B$3:$B$16,"None",0)</f>
        <v>Institutional</v>
      </c>
      <c r="Q194" s="6" t="s">
        <v>37</v>
      </c>
      <c r="R194" s="6" t="str">
        <f>_xlfn.XLOOKUP(S194,'[1]Governance Dimension_Topics'!$C$3:$C$16,'[1]Governance Dimension_Topics'!$B$3:$B$16,"None",0)</f>
        <v>Legal</v>
      </c>
      <c r="S194" s="6" t="s">
        <v>94</v>
      </c>
      <c r="T194" s="6"/>
      <c r="U194" s="6"/>
      <c r="V194" s="6"/>
      <c r="W194" s="6"/>
      <c r="X194" s="6" t="s">
        <v>31</v>
      </c>
      <c r="Y194" s="6"/>
    </row>
    <row r="195" spans="1:25" x14ac:dyDescent="0.25">
      <c r="A195" s="20" t="s">
        <v>278</v>
      </c>
      <c r="B195" s="21">
        <v>46066</v>
      </c>
      <c r="C195" s="6" t="s">
        <v>280</v>
      </c>
      <c r="D195" s="6" t="s">
        <v>266</v>
      </c>
      <c r="E195" s="6" t="s">
        <v>293</v>
      </c>
      <c r="F195" s="6" t="s">
        <v>34</v>
      </c>
      <c r="G195" s="6" t="s">
        <v>59</v>
      </c>
      <c r="H195" s="6" t="s">
        <v>370</v>
      </c>
      <c r="I195" s="6" t="s">
        <v>231</v>
      </c>
      <c r="J195" s="6"/>
      <c r="K195" s="6"/>
      <c r="L195" s="6" t="s">
        <v>171</v>
      </c>
      <c r="M195" s="6" t="s">
        <v>225</v>
      </c>
      <c r="N195" s="6" t="str">
        <f>_xlfn.XLOOKUP(O195,'[1]Governance Dimension_Topics'!$C$3:$C$16,'[1]Governance Dimension_Topics'!$B$3:$B$16,"None",0)</f>
        <v>Development</v>
      </c>
      <c r="O195" s="6" t="s">
        <v>93</v>
      </c>
      <c r="P195" s="6" t="str">
        <f>_xlfn.XLOOKUP(Q195,'[1]Governance Dimension_Topics'!$C$3:$C$16,'[1]Governance Dimension_Topics'!$B$3:$B$16,"None",0)</f>
        <v>Development</v>
      </c>
      <c r="Q195" s="6" t="s">
        <v>111</v>
      </c>
      <c r="R195" s="6" t="str">
        <f>_xlfn.XLOOKUP(S195,'[1]Governance Dimension_Topics'!$C$3:$C$16,'[1]Governance Dimension_Topics'!$B$3:$B$16,"None",0)</f>
        <v>Institutional</v>
      </c>
      <c r="S195" s="6" t="s">
        <v>37</v>
      </c>
      <c r="T195" s="6" t="str">
        <f>_xlfn.XLOOKUP(U195,'[1]Governance Dimension_Topics'!$C$3:$C$16,'[1]Governance Dimension_Topics'!$B$3:$B$16,"None",0)</f>
        <v>Legal</v>
      </c>
      <c r="U195" s="6" t="s">
        <v>94</v>
      </c>
      <c r="V195" s="6" t="str">
        <f>_xlfn.XLOOKUP(W195,'[1]Governance Dimension_Topics'!$C$3:$C$16,'[1]Governance Dimension_Topics'!$B$3:$B$16,"None",0)</f>
        <v>Economic</v>
      </c>
      <c r="W195" s="6" t="s">
        <v>147</v>
      </c>
      <c r="X195" s="6" t="s">
        <v>31</v>
      </c>
      <c r="Y195" s="6"/>
    </row>
    <row r="196" spans="1:25" x14ac:dyDescent="0.25">
      <c r="A196" s="20" t="s">
        <v>278</v>
      </c>
      <c r="B196" s="21">
        <v>46066</v>
      </c>
      <c r="C196" s="6" t="s">
        <v>280</v>
      </c>
      <c r="D196" s="6" t="s">
        <v>266</v>
      </c>
      <c r="E196" s="6" t="s">
        <v>82</v>
      </c>
      <c r="F196" s="6" t="s">
        <v>34</v>
      </c>
      <c r="G196" s="6" t="s">
        <v>59</v>
      </c>
      <c r="H196" s="6" t="s">
        <v>371</v>
      </c>
      <c r="I196" s="6" t="s">
        <v>231</v>
      </c>
      <c r="J196" s="6"/>
      <c r="K196" s="6"/>
      <c r="L196" s="6" t="s">
        <v>171</v>
      </c>
      <c r="M196" s="6" t="s">
        <v>225</v>
      </c>
      <c r="N196" s="6" t="str">
        <f>_xlfn.XLOOKUP(O196,'[1]Governance Dimension_Topics'!$C$3:$C$16,'[1]Governance Dimension_Topics'!$B$3:$B$16,"None",0)</f>
        <v>Economic</v>
      </c>
      <c r="O196" s="6" t="s">
        <v>105</v>
      </c>
      <c r="P196" s="6" t="str">
        <f>_xlfn.XLOOKUP(Q196,'[1]Governance Dimension_Topics'!$C$3:$C$16,'[1]Governance Dimension_Topics'!$B$3:$B$16,"None",0)</f>
        <v>Development</v>
      </c>
      <c r="Q196" s="6" t="s">
        <v>93</v>
      </c>
      <c r="R196" s="6" t="str">
        <f>_xlfn.XLOOKUP(S196,'[1]Governance Dimension_Topics'!$C$3:$C$16,'[1]Governance Dimension_Topics'!$B$3:$B$16,"None",0)</f>
        <v>Development</v>
      </c>
      <c r="S196" s="6" t="s">
        <v>188</v>
      </c>
      <c r="T196" s="6" t="str">
        <f>_xlfn.XLOOKUP(U196,'[1]Governance Dimension_Topics'!$C$3:$C$16,'[1]Governance Dimension_Topics'!$B$3:$B$16,"None",0)</f>
        <v>Legal</v>
      </c>
      <c r="U196" s="6" t="s">
        <v>94</v>
      </c>
      <c r="V196" s="6" t="str">
        <f>_xlfn.XLOOKUP(W196,'[1]Governance Dimension_Topics'!$C$3:$C$16,'[1]Governance Dimension_Topics'!$B$3:$B$16,"None",0)</f>
        <v>Institutional</v>
      </c>
      <c r="W196" s="6" t="s">
        <v>37</v>
      </c>
      <c r="X196" s="6" t="s">
        <v>31</v>
      </c>
      <c r="Y196" s="6"/>
    </row>
    <row r="197" spans="1:25" x14ac:dyDescent="0.25">
      <c r="A197" s="20" t="s">
        <v>278</v>
      </c>
      <c r="B197" s="21">
        <v>46066</v>
      </c>
      <c r="C197" s="6" t="s">
        <v>280</v>
      </c>
      <c r="D197" s="6" t="s">
        <v>266</v>
      </c>
      <c r="E197" s="6" t="s">
        <v>350</v>
      </c>
      <c r="F197" s="6" t="s">
        <v>34</v>
      </c>
      <c r="G197" s="6" t="s">
        <v>59</v>
      </c>
      <c r="H197" s="6" t="s">
        <v>372</v>
      </c>
      <c r="I197" s="6" t="s">
        <v>231</v>
      </c>
      <c r="J197" s="6"/>
      <c r="K197" s="6"/>
      <c r="L197" s="6" t="s">
        <v>171</v>
      </c>
      <c r="M197" s="6" t="s">
        <v>225</v>
      </c>
      <c r="N197" s="6" t="str">
        <f>_xlfn.XLOOKUP(O197,'[1]Governance Dimension_Topics'!$C$3:$C$16,'[1]Governance Dimension_Topics'!$B$3:$B$16,"None",0)</f>
        <v>Development</v>
      </c>
      <c r="O197" s="6" t="s">
        <v>93</v>
      </c>
      <c r="P197" s="6" t="str">
        <f>_xlfn.XLOOKUP(Q197,'[1]Governance Dimension_Topics'!$C$3:$C$16,'[1]Governance Dimension_Topics'!$B$3:$B$16,"None",0)</f>
        <v>Institutional</v>
      </c>
      <c r="Q197" s="6" t="s">
        <v>51</v>
      </c>
      <c r="R197" s="6" t="str">
        <f>_xlfn.XLOOKUP(S197,'[1]Governance Dimension_Topics'!$C$3:$C$16,'[1]Governance Dimension_Topics'!$B$3:$B$16,"None",0)</f>
        <v>Institutional</v>
      </c>
      <c r="S197" s="6" t="s">
        <v>37</v>
      </c>
      <c r="T197" s="6"/>
      <c r="U197" s="6"/>
      <c r="V197" s="6"/>
      <c r="W197" s="6"/>
      <c r="X197" s="6" t="s">
        <v>31</v>
      </c>
      <c r="Y197" s="6"/>
    </row>
    <row r="198" spans="1:25" x14ac:dyDescent="0.25">
      <c r="A198" s="20" t="s">
        <v>278</v>
      </c>
      <c r="B198" s="21">
        <v>46066</v>
      </c>
      <c r="C198" s="6" t="s">
        <v>280</v>
      </c>
      <c r="D198" s="6" t="s">
        <v>266</v>
      </c>
      <c r="E198" s="6" t="s">
        <v>329</v>
      </c>
      <c r="F198" s="6" t="s">
        <v>34</v>
      </c>
      <c r="G198" s="6" t="s">
        <v>59</v>
      </c>
      <c r="H198" s="6" t="s">
        <v>373</v>
      </c>
      <c r="I198" s="6" t="s">
        <v>231</v>
      </c>
      <c r="J198" s="6"/>
      <c r="K198" s="6"/>
      <c r="L198" s="6" t="s">
        <v>171</v>
      </c>
      <c r="M198" s="6" t="s">
        <v>225</v>
      </c>
      <c r="N198" s="6" t="str">
        <f>_xlfn.XLOOKUP(O198,'[1]Governance Dimension_Topics'!$C$3:$C$16,'[1]Governance Dimension_Topics'!$B$3:$B$16,"None",0)</f>
        <v>Institutional</v>
      </c>
      <c r="O198" s="6" t="s">
        <v>51</v>
      </c>
      <c r="P198" s="6" t="str">
        <f>_xlfn.XLOOKUP(Q198,'[1]Governance Dimension_Topics'!$C$3:$C$16,'[1]Governance Dimension_Topics'!$B$3:$B$16,"None",0)</f>
        <v>Institutional</v>
      </c>
      <c r="Q198" s="6" t="s">
        <v>37</v>
      </c>
      <c r="R198" s="6"/>
      <c r="S198" s="6"/>
      <c r="T198" s="6"/>
      <c r="U198" s="6"/>
      <c r="V198" s="6"/>
      <c r="W198" s="6"/>
      <c r="X198" s="6" t="s">
        <v>48</v>
      </c>
      <c r="Y198" s="6"/>
    </row>
    <row r="199" spans="1:25" x14ac:dyDescent="0.25">
      <c r="A199" s="20" t="s">
        <v>278</v>
      </c>
      <c r="B199" s="21">
        <v>46066</v>
      </c>
      <c r="C199" s="6" t="s">
        <v>280</v>
      </c>
      <c r="D199" s="6" t="s">
        <v>266</v>
      </c>
      <c r="E199" s="6" t="s">
        <v>179</v>
      </c>
      <c r="F199" s="6" t="s">
        <v>34</v>
      </c>
      <c r="G199" s="6" t="s">
        <v>59</v>
      </c>
      <c r="H199" s="6" t="s">
        <v>374</v>
      </c>
      <c r="I199" s="6" t="s">
        <v>231</v>
      </c>
      <c r="J199" s="6"/>
      <c r="K199" s="6"/>
      <c r="L199" s="6" t="s">
        <v>171</v>
      </c>
      <c r="M199" s="6" t="s">
        <v>225</v>
      </c>
      <c r="N199" s="6" t="str">
        <f>_xlfn.XLOOKUP(O199,'[1]Governance Dimension_Topics'!$C$3:$C$16,'[1]Governance Dimension_Topics'!$B$3:$B$16,"None",0)</f>
        <v>Development</v>
      </c>
      <c r="O199" s="6" t="s">
        <v>111</v>
      </c>
      <c r="P199" s="6" t="str">
        <f>_xlfn.XLOOKUP(Q199,'[1]Governance Dimension_Topics'!$C$3:$C$16,'[1]Governance Dimension_Topics'!$B$3:$B$16,"None",0)</f>
        <v>Institutional</v>
      </c>
      <c r="Q199" s="6" t="s">
        <v>51</v>
      </c>
      <c r="R199" s="6" t="str">
        <f>_xlfn.XLOOKUP(S199,'[1]Governance Dimension_Topics'!$C$3:$C$16,'[1]Governance Dimension_Topics'!$B$3:$B$16,"None",0)</f>
        <v>Institutional</v>
      </c>
      <c r="S199" s="6" t="s">
        <v>37</v>
      </c>
      <c r="T199" s="6" t="str">
        <f>_xlfn.XLOOKUP(U199,'[1]Governance Dimension_Topics'!$C$3:$C$16,'[1]Governance Dimension_Topics'!$B$3:$B$16,"None",0)</f>
        <v>Legal</v>
      </c>
      <c r="U199" s="6" t="s">
        <v>94</v>
      </c>
      <c r="V199" s="6" t="str">
        <f>_xlfn.XLOOKUP(W199,'[1]Governance Dimension_Topics'!$C$3:$C$16,'[1]Governance Dimension_Topics'!$B$3:$B$16,"None",0)</f>
        <v>Development</v>
      </c>
      <c r="W199" s="6" t="s">
        <v>93</v>
      </c>
      <c r="X199" s="6" t="s">
        <v>31</v>
      </c>
      <c r="Y199" s="6"/>
    </row>
    <row r="200" spans="1:25" x14ac:dyDescent="0.25">
      <c r="A200" s="20" t="s">
        <v>278</v>
      </c>
      <c r="B200" s="21">
        <v>46066</v>
      </c>
      <c r="C200" s="6" t="s">
        <v>280</v>
      </c>
      <c r="D200" s="6" t="s">
        <v>266</v>
      </c>
      <c r="E200" s="6" t="s">
        <v>185</v>
      </c>
      <c r="F200" s="6" t="s">
        <v>34</v>
      </c>
      <c r="G200" s="6" t="s">
        <v>59</v>
      </c>
      <c r="H200" s="6" t="s">
        <v>375</v>
      </c>
      <c r="I200" s="6" t="s">
        <v>231</v>
      </c>
      <c r="J200" s="6"/>
      <c r="K200" s="6"/>
      <c r="L200" s="6" t="s">
        <v>171</v>
      </c>
      <c r="M200" s="6" t="s">
        <v>225</v>
      </c>
      <c r="N200" s="6" t="str">
        <f>_xlfn.XLOOKUP(O200,'[1]Governance Dimension_Topics'!$C$3:$C$16,'[1]Governance Dimension_Topics'!$B$3:$B$16,"None",0)</f>
        <v>Institutional</v>
      </c>
      <c r="O200" s="6" t="s">
        <v>51</v>
      </c>
      <c r="P200" s="6" t="str">
        <f>_xlfn.XLOOKUP(Q200,'[1]Governance Dimension_Topics'!$C$3:$C$16,'[1]Governance Dimension_Topics'!$B$3:$B$16,"None",0)</f>
        <v>Development</v>
      </c>
      <c r="Q200" s="6" t="s">
        <v>93</v>
      </c>
      <c r="R200" s="6" t="str">
        <f>_xlfn.XLOOKUP(S200,'[1]Governance Dimension_Topics'!$C$3:$C$16,'[1]Governance Dimension_Topics'!$B$3:$B$16,"None",0)</f>
        <v>Institutional</v>
      </c>
      <c r="S200" s="6" t="s">
        <v>37</v>
      </c>
      <c r="T200" s="6"/>
      <c r="U200" s="6"/>
      <c r="V200" s="6"/>
      <c r="W200" s="6"/>
      <c r="X200" s="6" t="s">
        <v>31</v>
      </c>
      <c r="Y200" s="6"/>
    </row>
    <row r="201" spans="1:25" x14ac:dyDescent="0.25">
      <c r="A201" s="20" t="s">
        <v>278</v>
      </c>
      <c r="B201" s="21">
        <v>46066</v>
      </c>
      <c r="C201" s="6" t="s">
        <v>280</v>
      </c>
      <c r="D201" s="6" t="s">
        <v>266</v>
      </c>
      <c r="E201" s="6" t="s">
        <v>54</v>
      </c>
      <c r="F201" s="6" t="s">
        <v>25</v>
      </c>
      <c r="G201" s="6" t="s">
        <v>59</v>
      </c>
      <c r="H201" s="6" t="s">
        <v>376</v>
      </c>
      <c r="I201" s="6" t="s">
        <v>231</v>
      </c>
      <c r="J201" s="6"/>
      <c r="K201" s="6"/>
      <c r="L201" s="6" t="s">
        <v>171</v>
      </c>
      <c r="M201" s="6" t="s">
        <v>225</v>
      </c>
      <c r="N201" s="6" t="str">
        <f>_xlfn.XLOOKUP(O201,'[1]Governance Dimension_Topics'!$C$3:$C$16,'[1]Governance Dimension_Topics'!$B$3:$B$16,"None",0)</f>
        <v>Institutional</v>
      </c>
      <c r="O201" s="6" t="s">
        <v>51</v>
      </c>
      <c r="P201" s="6" t="str">
        <f>_xlfn.XLOOKUP(Q201,'[1]Governance Dimension_Topics'!$C$3:$C$16,'[1]Governance Dimension_Topics'!$B$3:$B$16,"None",0)</f>
        <v>Development</v>
      </c>
      <c r="Q201" s="6" t="s">
        <v>188</v>
      </c>
      <c r="R201" s="6" t="str">
        <f>_xlfn.XLOOKUP(S201,'[1]Governance Dimension_Topics'!$C$3:$C$16,'[1]Governance Dimension_Topics'!$B$3:$B$16,"None",0)</f>
        <v>Institutional</v>
      </c>
      <c r="S201" s="6" t="s">
        <v>37</v>
      </c>
      <c r="T201" s="6"/>
      <c r="U201" s="6"/>
      <c r="V201" s="6"/>
      <c r="W201" s="6"/>
      <c r="X201" s="6" t="s">
        <v>31</v>
      </c>
      <c r="Y201" s="6"/>
    </row>
    <row r="202" spans="1:25" x14ac:dyDescent="0.25">
      <c r="A202" s="20" t="s">
        <v>278</v>
      </c>
      <c r="B202" s="21">
        <v>46066</v>
      </c>
      <c r="C202" s="6" t="s">
        <v>280</v>
      </c>
      <c r="D202" s="6" t="s">
        <v>266</v>
      </c>
      <c r="E202" s="6" t="s">
        <v>125</v>
      </c>
      <c r="F202" s="6" t="s">
        <v>34</v>
      </c>
      <c r="G202" s="6" t="s">
        <v>59</v>
      </c>
      <c r="H202" s="6" t="s">
        <v>377</v>
      </c>
      <c r="I202" s="6" t="s">
        <v>231</v>
      </c>
      <c r="J202" s="6"/>
      <c r="K202" s="6"/>
      <c r="L202" s="6" t="s">
        <v>171</v>
      </c>
      <c r="M202" s="6" t="s">
        <v>225</v>
      </c>
      <c r="N202" s="6" t="str">
        <f>_xlfn.XLOOKUP(O202,'[1]Governance Dimension_Topics'!$C$3:$C$16,'[1]Governance Dimension_Topics'!$B$3:$B$16,"None",0)</f>
        <v>Institutional</v>
      </c>
      <c r="O202" s="6" t="s">
        <v>51</v>
      </c>
      <c r="P202" s="6" t="str">
        <f>_xlfn.XLOOKUP(Q202,'[1]Governance Dimension_Topics'!$C$3:$C$16,'[1]Governance Dimension_Topics'!$B$3:$B$16,"None",0)</f>
        <v>Institutional</v>
      </c>
      <c r="Q202" s="6" t="s">
        <v>37</v>
      </c>
      <c r="R202" s="6"/>
      <c r="S202" s="6"/>
      <c r="T202" s="6"/>
      <c r="U202" s="6"/>
      <c r="V202" s="6"/>
      <c r="W202" s="6"/>
      <c r="X202" s="6" t="s">
        <v>31</v>
      </c>
      <c r="Y202" s="6"/>
    </row>
    <row r="203" spans="1:25" x14ac:dyDescent="0.25">
      <c r="A203" s="20" t="s">
        <v>278</v>
      </c>
      <c r="B203" s="21">
        <v>46066</v>
      </c>
      <c r="C203" s="6" t="s">
        <v>280</v>
      </c>
      <c r="D203" s="6" t="s">
        <v>266</v>
      </c>
      <c r="E203" s="6" t="s">
        <v>378</v>
      </c>
      <c r="F203" s="6" t="s">
        <v>34</v>
      </c>
      <c r="G203" s="6" t="s">
        <v>59</v>
      </c>
      <c r="H203" s="6" t="s">
        <v>379</v>
      </c>
      <c r="I203" s="6" t="s">
        <v>231</v>
      </c>
      <c r="J203" s="6"/>
      <c r="K203" s="6"/>
      <c r="L203" s="6" t="s">
        <v>171</v>
      </c>
      <c r="M203" s="6" t="s">
        <v>225</v>
      </c>
      <c r="N203" s="6" t="str">
        <f>_xlfn.XLOOKUP(O203,'[1]Governance Dimension_Topics'!$C$3:$C$16,'[1]Governance Dimension_Topics'!$B$3:$B$16,"None",0)</f>
        <v>Legal</v>
      </c>
      <c r="O203" s="6" t="s">
        <v>94</v>
      </c>
      <c r="P203" s="6" t="str">
        <f>_xlfn.XLOOKUP(Q203,'[1]Governance Dimension_Topics'!$C$3:$C$16,'[1]Governance Dimension_Topics'!$B$3:$B$16,"None",0)</f>
        <v>Development</v>
      </c>
      <c r="Q203" s="6" t="s">
        <v>188</v>
      </c>
      <c r="R203" s="6" t="str">
        <f>_xlfn.XLOOKUP(S203,'[1]Governance Dimension_Topics'!$C$3:$C$16,'[1]Governance Dimension_Topics'!$B$3:$B$16,"None",0)</f>
        <v>Institutional</v>
      </c>
      <c r="S203" s="6" t="s">
        <v>51</v>
      </c>
      <c r="T203" s="6" t="str">
        <f>_xlfn.XLOOKUP(U203,'[1]Governance Dimension_Topics'!$C$3:$C$16,'[1]Governance Dimension_Topics'!$B$3:$B$16,"None",0)</f>
        <v>Institutional</v>
      </c>
      <c r="U203" s="6" t="s">
        <v>37</v>
      </c>
      <c r="V203" s="6" t="str">
        <f>_xlfn.XLOOKUP(W203,'[1]Governance Dimension_Topics'!$C$3:$C$16,'[1]Governance Dimension_Topics'!$B$3:$B$16,"None",0)</f>
        <v>Development</v>
      </c>
      <c r="W203" s="6" t="s">
        <v>93</v>
      </c>
      <c r="X203" s="6" t="s">
        <v>31</v>
      </c>
      <c r="Y203" s="6"/>
    </row>
    <row r="204" spans="1:25" x14ac:dyDescent="0.25">
      <c r="A204" s="20" t="s">
        <v>278</v>
      </c>
      <c r="B204" s="21">
        <v>46066</v>
      </c>
      <c r="C204" s="6" t="s">
        <v>280</v>
      </c>
      <c r="D204" s="6" t="s">
        <v>266</v>
      </c>
      <c r="E204" s="6" t="s">
        <v>24</v>
      </c>
      <c r="F204" s="6" t="s">
        <v>25</v>
      </c>
      <c r="G204" s="6" t="s">
        <v>59</v>
      </c>
      <c r="H204" s="6" t="s">
        <v>380</v>
      </c>
      <c r="I204" s="6" t="s">
        <v>231</v>
      </c>
      <c r="J204" s="6"/>
      <c r="K204" s="6"/>
      <c r="L204" s="6" t="s">
        <v>171</v>
      </c>
      <c r="M204" s="6" t="s">
        <v>225</v>
      </c>
      <c r="N204" s="6" t="str">
        <f>_xlfn.XLOOKUP(O204,'[1]Governance Dimension_Topics'!$C$3:$C$16,'[1]Governance Dimension_Topics'!$B$3:$B$16,"None",0)</f>
        <v>Development</v>
      </c>
      <c r="O204" s="6" t="s">
        <v>188</v>
      </c>
      <c r="P204" s="6" t="str">
        <f>_xlfn.XLOOKUP(Q204,'[1]Governance Dimension_Topics'!$C$3:$C$16,'[1]Governance Dimension_Topics'!$B$3:$B$16,"None",0)</f>
        <v>Development</v>
      </c>
      <c r="Q204" s="6" t="s">
        <v>93</v>
      </c>
      <c r="R204" s="6"/>
      <c r="S204" s="6"/>
      <c r="T204" s="6"/>
      <c r="U204" s="6"/>
      <c r="V204" s="6"/>
      <c r="W204" s="6"/>
      <c r="X204" s="6" t="s">
        <v>31</v>
      </c>
      <c r="Y204" s="6"/>
    </row>
    <row r="205" spans="1:25" x14ac:dyDescent="0.25">
      <c r="A205" s="20" t="s">
        <v>278</v>
      </c>
      <c r="B205" s="21">
        <v>46066</v>
      </c>
      <c r="C205" s="6" t="s">
        <v>280</v>
      </c>
      <c r="D205" s="6" t="s">
        <v>266</v>
      </c>
      <c r="E205" s="6" t="s">
        <v>58</v>
      </c>
      <c r="F205" s="6" t="s">
        <v>25</v>
      </c>
      <c r="G205" s="6" t="s">
        <v>59</v>
      </c>
      <c r="H205" s="6" t="s">
        <v>381</v>
      </c>
      <c r="I205" s="6" t="s">
        <v>231</v>
      </c>
      <c r="J205" s="6"/>
      <c r="K205" s="6"/>
      <c r="L205" s="6" t="s">
        <v>171</v>
      </c>
      <c r="M205" s="6" t="s">
        <v>225</v>
      </c>
      <c r="N205" s="6" t="str">
        <f>_xlfn.XLOOKUP(O205,'[1]Governance Dimension_Topics'!$C$3:$C$16,'[1]Governance Dimension_Topics'!$B$3:$B$16,"None",0)</f>
        <v>Institutional</v>
      </c>
      <c r="O205" s="6" t="s">
        <v>51</v>
      </c>
      <c r="P205" s="6" t="str">
        <f>_xlfn.XLOOKUP(Q205,'[1]Governance Dimension_Topics'!$C$3:$C$16,'[1]Governance Dimension_Topics'!$B$3:$B$16,"None",0)</f>
        <v>Development</v>
      </c>
      <c r="Q205" s="6" t="s">
        <v>188</v>
      </c>
      <c r="R205" s="6" t="str">
        <f>_xlfn.XLOOKUP(S205,'[1]Governance Dimension_Topics'!$C$3:$C$16,'[1]Governance Dimension_Topics'!$B$3:$B$16,"None",0)</f>
        <v>Institutional</v>
      </c>
      <c r="S205" s="6" t="s">
        <v>37</v>
      </c>
      <c r="T205" s="6"/>
      <c r="U205" s="6"/>
      <c r="V205" s="6"/>
      <c r="W205" s="6"/>
      <c r="X205" s="6" t="s">
        <v>31</v>
      </c>
      <c r="Y205" s="6"/>
    </row>
    <row r="206" spans="1:25" x14ac:dyDescent="0.25">
      <c r="A206" s="20" t="s">
        <v>278</v>
      </c>
      <c r="B206" s="21">
        <v>46066</v>
      </c>
      <c r="C206" s="6" t="s">
        <v>280</v>
      </c>
      <c r="D206" s="6" t="s">
        <v>266</v>
      </c>
      <c r="E206" s="6" t="s">
        <v>72</v>
      </c>
      <c r="F206" s="6" t="s">
        <v>25</v>
      </c>
      <c r="G206" s="6" t="s">
        <v>59</v>
      </c>
      <c r="H206" s="6" t="s">
        <v>382</v>
      </c>
      <c r="I206" s="6" t="s">
        <v>231</v>
      </c>
      <c r="J206" s="6"/>
      <c r="K206" s="6"/>
      <c r="L206" s="6" t="s">
        <v>171</v>
      </c>
      <c r="M206" s="6" t="s">
        <v>225</v>
      </c>
      <c r="N206" s="6" t="str">
        <f>_xlfn.XLOOKUP(O206,'[1]Governance Dimension_Topics'!$C$3:$C$16,'[1]Governance Dimension_Topics'!$B$3:$B$16,"None",0)</f>
        <v>Development</v>
      </c>
      <c r="O206" s="6" t="s">
        <v>111</v>
      </c>
      <c r="P206" s="6" t="str">
        <f>_xlfn.XLOOKUP(Q206,'[1]Governance Dimension_Topics'!$C$3:$C$16,'[1]Governance Dimension_Topics'!$B$3:$B$16,"None",0)</f>
        <v>Development</v>
      </c>
      <c r="Q206" s="6" t="s">
        <v>188</v>
      </c>
      <c r="R206" s="6" t="str">
        <f>_xlfn.XLOOKUP(S206,'[1]Governance Dimension_Topics'!$C$3:$C$16,'[1]Governance Dimension_Topics'!$B$3:$B$16,"None",0)</f>
        <v>Institutional</v>
      </c>
      <c r="S206" s="6" t="s">
        <v>51</v>
      </c>
      <c r="T206" s="6" t="str">
        <f>_xlfn.XLOOKUP(U206,'[1]Governance Dimension_Topics'!$C$3:$C$16,'[1]Governance Dimension_Topics'!$B$3:$B$16,"None",0)</f>
        <v>Institutional</v>
      </c>
      <c r="U206" s="6" t="s">
        <v>37</v>
      </c>
      <c r="V206" s="6"/>
      <c r="W206" s="6"/>
      <c r="X206" s="6" t="s">
        <v>31</v>
      </c>
      <c r="Y206" s="6"/>
    </row>
    <row r="207" spans="1:25" x14ac:dyDescent="0.25">
      <c r="A207" s="20" t="s">
        <v>278</v>
      </c>
      <c r="B207" s="21">
        <v>46066</v>
      </c>
      <c r="C207" s="6" t="s">
        <v>280</v>
      </c>
      <c r="D207" s="6" t="s">
        <v>266</v>
      </c>
      <c r="E207" s="6" t="s">
        <v>383</v>
      </c>
      <c r="F207" s="6" t="s">
        <v>55</v>
      </c>
      <c r="G207" s="6" t="s">
        <v>59</v>
      </c>
      <c r="H207" s="6" t="s">
        <v>384</v>
      </c>
      <c r="I207" s="6" t="s">
        <v>231</v>
      </c>
      <c r="J207" s="6"/>
      <c r="K207" s="6"/>
      <c r="L207" s="6" t="s">
        <v>171</v>
      </c>
      <c r="M207" s="6" t="s">
        <v>225</v>
      </c>
      <c r="N207" s="6" t="str">
        <f>_xlfn.XLOOKUP(O207,'[1]Governance Dimension_Topics'!$C$3:$C$16,'[1]Governance Dimension_Topics'!$B$3:$B$16,"None",0)</f>
        <v>Institutional</v>
      </c>
      <c r="O207" s="6" t="s">
        <v>51</v>
      </c>
      <c r="P207" s="6" t="str">
        <f>_xlfn.XLOOKUP(Q207,'[1]Governance Dimension_Topics'!$C$3:$C$16,'[1]Governance Dimension_Topics'!$B$3:$B$16,"None",0)</f>
        <v>Institutional</v>
      </c>
      <c r="Q207" s="6" t="s">
        <v>37</v>
      </c>
      <c r="R207" s="6" t="str">
        <f>_xlfn.XLOOKUP(S207,'[1]Governance Dimension_Topics'!$C$3:$C$16,'[1]Governance Dimension_Topics'!$B$3:$B$16,"None",0)</f>
        <v>Development</v>
      </c>
      <c r="S207" s="6" t="s">
        <v>188</v>
      </c>
      <c r="T207" s="6" t="str">
        <f>_xlfn.XLOOKUP(U207,'[1]Governance Dimension_Topics'!$C$3:$C$16,'[1]Governance Dimension_Topics'!$B$3:$B$16,"None",0)</f>
        <v>Legal</v>
      </c>
      <c r="U207" s="6" t="s">
        <v>94</v>
      </c>
      <c r="V207" s="6"/>
      <c r="W207" s="6"/>
      <c r="X207" s="6" t="s">
        <v>31</v>
      </c>
      <c r="Y207" s="6"/>
    </row>
    <row r="208" spans="1:25" x14ac:dyDescent="0.25">
      <c r="A208" s="20" t="s">
        <v>278</v>
      </c>
      <c r="B208" s="21">
        <v>46066</v>
      </c>
      <c r="C208" s="6" t="s">
        <v>280</v>
      </c>
      <c r="D208" s="6" t="s">
        <v>266</v>
      </c>
      <c r="E208" s="6" t="s">
        <v>68</v>
      </c>
      <c r="F208" s="6" t="s">
        <v>34</v>
      </c>
      <c r="G208" s="6" t="s">
        <v>59</v>
      </c>
      <c r="H208" s="6" t="s">
        <v>385</v>
      </c>
      <c r="I208" s="6" t="s">
        <v>231</v>
      </c>
      <c r="J208" s="6" t="s">
        <v>213</v>
      </c>
      <c r="K208" s="6"/>
      <c r="L208" s="6" t="s">
        <v>171</v>
      </c>
      <c r="M208" s="6" t="s">
        <v>225</v>
      </c>
      <c r="N208" s="6" t="str">
        <f>_xlfn.XLOOKUP(O208,'[1]Governance Dimension_Topics'!$C$3:$C$16,'[1]Governance Dimension_Topics'!$B$3:$B$16,"None",0)</f>
        <v>Institutional</v>
      </c>
      <c r="O208" s="6" t="s">
        <v>37</v>
      </c>
      <c r="P208" s="6" t="str">
        <f>_xlfn.XLOOKUP(Q208,'[1]Governance Dimension_Topics'!$C$3:$C$16,'[1]Governance Dimension_Topics'!$B$3:$B$16,"None",0)</f>
        <v>Development</v>
      </c>
      <c r="Q208" s="6" t="s">
        <v>188</v>
      </c>
      <c r="R208" s="6" t="str">
        <f>_xlfn.XLOOKUP(S208,'[1]Governance Dimension_Topics'!$C$3:$C$16,'[1]Governance Dimension_Topics'!$B$3:$B$16,"None",0)</f>
        <v>Political Economy</v>
      </c>
      <c r="S208" s="6" t="s">
        <v>29</v>
      </c>
      <c r="T208" s="6" t="str">
        <f>_xlfn.XLOOKUP(U208,'[1]Governance Dimension_Topics'!$C$3:$C$16,'[1]Governance Dimension_Topics'!$B$3:$B$16,"None",0)</f>
        <v>Institutional</v>
      </c>
      <c r="U208" s="6" t="s">
        <v>51</v>
      </c>
      <c r="V208" s="6" t="str">
        <f>_xlfn.XLOOKUP(W208,'[1]Governance Dimension_Topics'!$C$3:$C$16,'[1]Governance Dimension_Topics'!$B$3:$B$16,"None",0)</f>
        <v>Legal</v>
      </c>
      <c r="W208" s="6" t="s">
        <v>39</v>
      </c>
      <c r="X208" s="6" t="s">
        <v>31</v>
      </c>
      <c r="Y208" s="6"/>
    </row>
    <row r="209" spans="1:25" x14ac:dyDescent="0.25">
      <c r="A209" s="20" t="s">
        <v>278</v>
      </c>
      <c r="B209" s="21">
        <v>46066</v>
      </c>
      <c r="C209" s="6" t="s">
        <v>280</v>
      </c>
      <c r="D209" s="6" t="s">
        <v>266</v>
      </c>
      <c r="E209" s="6" t="s">
        <v>82</v>
      </c>
      <c r="F209" s="6" t="s">
        <v>25</v>
      </c>
      <c r="G209" s="6" t="s">
        <v>26</v>
      </c>
      <c r="H209" s="6" t="s">
        <v>386</v>
      </c>
      <c r="I209" s="6" t="s">
        <v>134</v>
      </c>
      <c r="J209" s="6" t="s">
        <v>133</v>
      </c>
      <c r="K209" s="6" t="s">
        <v>95</v>
      </c>
      <c r="L209" s="6" t="s">
        <v>421</v>
      </c>
      <c r="M209" s="6" t="s">
        <v>225</v>
      </c>
      <c r="N209" s="6" t="str">
        <f>_xlfn.XLOOKUP(O209,'[1]Governance Dimension_Topics'!$C$3:$C$16,'[1]Governance Dimension_Topics'!$B$3:$B$16,"None",0)</f>
        <v>Legal</v>
      </c>
      <c r="O209" s="6" t="s">
        <v>39</v>
      </c>
      <c r="P209" s="6" t="str">
        <f>_xlfn.XLOOKUP(Q209,'[1]Governance Dimension_Topics'!$C$3:$C$16,'[1]Governance Dimension_Topics'!$B$3:$B$16,"None",0)</f>
        <v>Political Economy</v>
      </c>
      <c r="Q209" s="6" t="s">
        <v>29</v>
      </c>
      <c r="R209" s="6" t="str">
        <f>_xlfn.XLOOKUP(S209,'[1]Governance Dimension_Topics'!$C$3:$C$16,'[1]Governance Dimension_Topics'!$B$3:$B$16,"None",0)</f>
        <v>Economic</v>
      </c>
      <c r="S209" s="6" t="s">
        <v>35</v>
      </c>
      <c r="T209" s="6" t="str">
        <f>_xlfn.XLOOKUP(U209,'[1]Governance Dimension_Topics'!$C$3:$C$16,'[1]Governance Dimension_Topics'!$B$3:$B$16,"None",0)</f>
        <v>Development</v>
      </c>
      <c r="U209" s="6" t="s">
        <v>188</v>
      </c>
      <c r="V209" s="6" t="str">
        <f>_xlfn.XLOOKUP(W209,'[1]Governance Dimension_Topics'!$C$3:$C$16,'[1]Governance Dimension_Topics'!$B$3:$B$16,"None",0)</f>
        <v>Institutional</v>
      </c>
      <c r="W209" s="6" t="s">
        <v>51</v>
      </c>
      <c r="X209" s="6" t="s">
        <v>31</v>
      </c>
      <c r="Y209" s="6"/>
    </row>
    <row r="210" spans="1:25" x14ac:dyDescent="0.25">
      <c r="A210" s="20" t="s">
        <v>278</v>
      </c>
      <c r="B210" s="21">
        <v>46066</v>
      </c>
      <c r="C210" s="6" t="s">
        <v>280</v>
      </c>
      <c r="D210" s="6" t="s">
        <v>266</v>
      </c>
      <c r="E210" s="6" t="s">
        <v>33</v>
      </c>
      <c r="F210" s="6" t="s">
        <v>34</v>
      </c>
      <c r="G210" s="6" t="s">
        <v>26</v>
      </c>
      <c r="H210" s="6" t="s">
        <v>387</v>
      </c>
      <c r="I210" s="6" t="s">
        <v>174</v>
      </c>
      <c r="J210" s="6"/>
      <c r="K210" s="6"/>
      <c r="L210" s="6" t="s">
        <v>171</v>
      </c>
      <c r="M210" s="6" t="s">
        <v>225</v>
      </c>
      <c r="N210" s="6" t="str">
        <f>_xlfn.XLOOKUP(O210,'[1]Governance Dimension_Topics'!$C$3:$C$16,'[1]Governance Dimension_Topics'!$B$3:$B$16,"None",0)</f>
        <v>Institutional</v>
      </c>
      <c r="O210" s="6" t="s">
        <v>37</v>
      </c>
      <c r="P210" s="6" t="str">
        <f>_xlfn.XLOOKUP(Q210,'[1]Governance Dimension_Topics'!$C$3:$C$16,'[1]Governance Dimension_Topics'!$B$3:$B$16,"None",0)</f>
        <v>Institutional</v>
      </c>
      <c r="Q210" s="6" t="s">
        <v>51</v>
      </c>
      <c r="R210" s="6"/>
      <c r="S210" s="6"/>
      <c r="T210" s="6"/>
      <c r="U210" s="6"/>
      <c r="V210" s="6"/>
      <c r="W210" s="6"/>
      <c r="X210" s="6" t="s">
        <v>48</v>
      </c>
      <c r="Y210" s="6"/>
    </row>
    <row r="211" spans="1:25" x14ac:dyDescent="0.25">
      <c r="A211" s="20" t="s">
        <v>278</v>
      </c>
      <c r="B211" s="21">
        <v>46066</v>
      </c>
      <c r="C211" s="6" t="s">
        <v>280</v>
      </c>
      <c r="D211" s="6" t="s">
        <v>266</v>
      </c>
      <c r="E211" s="6" t="s">
        <v>279</v>
      </c>
      <c r="F211" s="6" t="s">
        <v>25</v>
      </c>
      <c r="G211" s="6" t="s">
        <v>26</v>
      </c>
      <c r="H211" s="6" t="s">
        <v>388</v>
      </c>
      <c r="I211" s="6" t="s">
        <v>174</v>
      </c>
      <c r="J211" s="6"/>
      <c r="K211" s="6"/>
      <c r="L211" s="6" t="s">
        <v>171</v>
      </c>
      <c r="M211" s="6" t="s">
        <v>225</v>
      </c>
      <c r="N211" s="6" t="str">
        <f>_xlfn.XLOOKUP(O211,'[1]Governance Dimension_Topics'!$C$3:$C$16,'[1]Governance Dimension_Topics'!$B$3:$B$16,"None",0)</f>
        <v>Development</v>
      </c>
      <c r="O211" s="6" t="s">
        <v>111</v>
      </c>
      <c r="P211" s="6" t="str">
        <f>_xlfn.XLOOKUP(Q211,'[1]Governance Dimension_Topics'!$C$3:$C$16,'[1]Governance Dimension_Topics'!$B$3:$B$16,"None",0)</f>
        <v>Development</v>
      </c>
      <c r="Q211" s="6" t="s">
        <v>188</v>
      </c>
      <c r="R211" s="6" t="str">
        <f>_xlfn.XLOOKUP(S211,'[1]Governance Dimension_Topics'!$C$3:$C$16,'[1]Governance Dimension_Topics'!$B$3:$B$16,"None",0)</f>
        <v>Development</v>
      </c>
      <c r="S211" s="6" t="s">
        <v>93</v>
      </c>
      <c r="T211" s="6"/>
      <c r="U211" s="6"/>
      <c r="V211" s="6"/>
      <c r="W211" s="6"/>
      <c r="X211" s="6" t="s">
        <v>31</v>
      </c>
      <c r="Y211" s="6"/>
    </row>
    <row r="212" spans="1:25" x14ac:dyDescent="0.25">
      <c r="A212" s="20" t="s">
        <v>278</v>
      </c>
      <c r="B212" s="21">
        <v>46066</v>
      </c>
      <c r="C212" s="6" t="s">
        <v>280</v>
      </c>
      <c r="D212" s="6" t="s">
        <v>266</v>
      </c>
      <c r="E212" s="6" t="s">
        <v>24</v>
      </c>
      <c r="F212" s="6" t="s">
        <v>25</v>
      </c>
      <c r="G212" s="6" t="s">
        <v>26</v>
      </c>
      <c r="H212" s="6" t="s">
        <v>389</v>
      </c>
      <c r="I212" s="6" t="s">
        <v>162</v>
      </c>
      <c r="J212" s="6" t="s">
        <v>213</v>
      </c>
      <c r="K212" s="6" t="s">
        <v>174</v>
      </c>
      <c r="L212" s="6" t="s">
        <v>438</v>
      </c>
      <c r="M212" s="6" t="s">
        <v>180</v>
      </c>
      <c r="N212" s="6" t="str">
        <f>_xlfn.XLOOKUP(O212,'[1]Governance Dimension_Topics'!$C$3:$C$16,'[1]Governance Dimension_Topics'!$B$3:$B$16,"None",0)</f>
        <v>Legal</v>
      </c>
      <c r="O212" s="6" t="s">
        <v>39</v>
      </c>
      <c r="P212" s="6" t="str">
        <f>_xlfn.XLOOKUP(Q212,'[1]Governance Dimension_Topics'!$C$3:$C$16,'[1]Governance Dimension_Topics'!$B$3:$B$16,"None",0)</f>
        <v>Development</v>
      </c>
      <c r="Q212" s="6" t="s">
        <v>188</v>
      </c>
      <c r="R212" s="6" t="str">
        <f>_xlfn.XLOOKUP(S212,'[1]Governance Dimension_Topics'!$C$3:$C$16,'[1]Governance Dimension_Topics'!$B$3:$B$16,"None",0)</f>
        <v>Economic</v>
      </c>
      <c r="S212" s="6" t="s">
        <v>35</v>
      </c>
      <c r="T212" s="6" t="str">
        <f>_xlfn.XLOOKUP(U212,'[1]Governance Dimension_Topics'!$C$3:$C$16,'[1]Governance Dimension_Topics'!$B$3:$B$16,"None",0)</f>
        <v>Political Economy</v>
      </c>
      <c r="U212" s="6" t="s">
        <v>29</v>
      </c>
      <c r="V212" s="6" t="str">
        <f>_xlfn.XLOOKUP(W212,'[1]Governance Dimension_Topics'!$C$3:$C$16,'[1]Governance Dimension_Topics'!$B$3:$B$16,"None",0)</f>
        <v>Institutional</v>
      </c>
      <c r="W212" s="6" t="s">
        <v>37</v>
      </c>
      <c r="X212" s="6" t="s">
        <v>31</v>
      </c>
      <c r="Y212" s="6"/>
    </row>
    <row r="213" spans="1:25" x14ac:dyDescent="0.25">
      <c r="A213" s="20" t="s">
        <v>278</v>
      </c>
      <c r="B213" s="21">
        <v>46066</v>
      </c>
      <c r="C213" s="6" t="s">
        <v>280</v>
      </c>
      <c r="D213" s="6" t="s">
        <v>266</v>
      </c>
      <c r="E213" s="6" t="s">
        <v>390</v>
      </c>
      <c r="F213" s="6" t="s">
        <v>25</v>
      </c>
      <c r="G213" s="6" t="s">
        <v>26</v>
      </c>
      <c r="H213" s="6" t="s">
        <v>391</v>
      </c>
      <c r="I213" s="6" t="s">
        <v>162</v>
      </c>
      <c r="J213" s="6" t="s">
        <v>174</v>
      </c>
      <c r="K213" s="6"/>
      <c r="L213" s="6" t="s">
        <v>438</v>
      </c>
      <c r="M213" s="6" t="s">
        <v>54</v>
      </c>
      <c r="N213" s="6" t="str">
        <f>_xlfn.XLOOKUP(O213,'[1]Governance Dimension_Topics'!$C$3:$C$16,'[1]Governance Dimension_Topics'!$B$3:$B$16,"None",0)</f>
        <v>Legal</v>
      </c>
      <c r="O213" s="6" t="s">
        <v>39</v>
      </c>
      <c r="P213" s="6" t="str">
        <f>_xlfn.XLOOKUP(Q213,'[1]Governance Dimension_Topics'!$C$3:$C$16,'[1]Governance Dimension_Topics'!$B$3:$B$16,"None",0)</f>
        <v>Political Economy</v>
      </c>
      <c r="Q213" s="6" t="s">
        <v>29</v>
      </c>
      <c r="R213" s="6" t="str">
        <f>_xlfn.XLOOKUP(S213,'[1]Governance Dimension_Topics'!$C$3:$C$16,'[1]Governance Dimension_Topics'!$B$3:$B$16,"None",0)</f>
        <v>Economic</v>
      </c>
      <c r="S213" s="6" t="s">
        <v>35</v>
      </c>
      <c r="T213" s="6" t="str">
        <f>_xlfn.XLOOKUP(U213,'[1]Governance Dimension_Topics'!$C$3:$C$16,'[1]Governance Dimension_Topics'!$B$3:$B$16,"None",0)</f>
        <v>Institutional</v>
      </c>
      <c r="U213" s="6" t="s">
        <v>37</v>
      </c>
      <c r="V213" s="6" t="str">
        <f>_xlfn.XLOOKUP(W213,'[1]Governance Dimension_Topics'!$C$3:$C$16,'[1]Governance Dimension_Topics'!$B$3:$B$16,"None",0)</f>
        <v>Development</v>
      </c>
      <c r="W213" s="6" t="s">
        <v>93</v>
      </c>
      <c r="X213" s="6" t="s">
        <v>31</v>
      </c>
      <c r="Y213" s="6"/>
    </row>
    <row r="214" spans="1:25" x14ac:dyDescent="0.25">
      <c r="A214" s="20" t="s">
        <v>278</v>
      </c>
      <c r="B214" s="21">
        <v>46066</v>
      </c>
      <c r="C214" s="6" t="s">
        <v>280</v>
      </c>
      <c r="D214" s="6" t="s">
        <v>266</v>
      </c>
      <c r="E214" s="6" t="s">
        <v>70</v>
      </c>
      <c r="F214" s="6" t="s">
        <v>34</v>
      </c>
      <c r="G214" s="6" t="s">
        <v>26</v>
      </c>
      <c r="H214" s="6" t="s">
        <v>392</v>
      </c>
      <c r="I214" s="6" t="s">
        <v>174</v>
      </c>
      <c r="J214" s="6"/>
      <c r="K214" s="6"/>
      <c r="L214" s="6" t="s">
        <v>171</v>
      </c>
      <c r="M214" s="6" t="s">
        <v>225</v>
      </c>
      <c r="N214" s="6" t="str">
        <f>_xlfn.XLOOKUP(O214,'[1]Governance Dimension_Topics'!$C$3:$C$16,'[1]Governance Dimension_Topics'!$B$3:$B$16,"None",0)</f>
        <v>Legal</v>
      </c>
      <c r="O214" s="6" t="s">
        <v>94</v>
      </c>
      <c r="P214" s="6" t="str">
        <f>_xlfn.XLOOKUP(Q214,'[1]Governance Dimension_Topics'!$C$3:$C$16,'[1]Governance Dimension_Topics'!$B$3:$B$16,"None",0)</f>
        <v>Institutional</v>
      </c>
      <c r="Q214" s="6" t="s">
        <v>37</v>
      </c>
      <c r="R214" s="6" t="str">
        <f>_xlfn.XLOOKUP(S214,'[1]Governance Dimension_Topics'!$C$3:$C$16,'[1]Governance Dimension_Topics'!$B$3:$B$16,"None",0)</f>
        <v>Economic</v>
      </c>
      <c r="S214" s="6" t="s">
        <v>35</v>
      </c>
      <c r="T214" s="6" t="str">
        <f>_xlfn.XLOOKUP(U214,'[1]Governance Dimension_Topics'!$C$3:$C$16,'[1]Governance Dimension_Topics'!$B$3:$B$16,"None",0)</f>
        <v>Legal</v>
      </c>
      <c r="U214" s="6" t="s">
        <v>39</v>
      </c>
      <c r="V214" s="6" t="str">
        <f>_xlfn.XLOOKUP(W214,'[1]Governance Dimension_Topics'!$C$3:$C$16,'[1]Governance Dimension_Topics'!$B$3:$B$16,"None",0)</f>
        <v>Institutional</v>
      </c>
      <c r="W214" s="6" t="s">
        <v>51</v>
      </c>
      <c r="X214" s="6" t="s">
        <v>31</v>
      </c>
      <c r="Y214" s="6"/>
    </row>
    <row r="215" spans="1:25" x14ac:dyDescent="0.25">
      <c r="A215" s="20" t="s">
        <v>278</v>
      </c>
      <c r="B215" s="21">
        <v>46066</v>
      </c>
      <c r="C215" s="6" t="s">
        <v>280</v>
      </c>
      <c r="D215" s="6" t="s">
        <v>266</v>
      </c>
      <c r="E215" s="6" t="s">
        <v>181</v>
      </c>
      <c r="F215" s="6" t="s">
        <v>25</v>
      </c>
      <c r="G215" s="6" t="s">
        <v>26</v>
      </c>
      <c r="H215" s="6" t="s">
        <v>393</v>
      </c>
      <c r="I215" s="6" t="s">
        <v>174</v>
      </c>
      <c r="J215" s="6"/>
      <c r="K215" s="6"/>
      <c r="L215" s="6" t="s">
        <v>171</v>
      </c>
      <c r="M215" s="6" t="s">
        <v>225</v>
      </c>
      <c r="N215" s="6" t="str">
        <f>_xlfn.XLOOKUP(O215,'[1]Governance Dimension_Topics'!$C$3:$C$16,'[1]Governance Dimension_Topics'!$B$3:$B$16,"None",0)</f>
        <v>Political Economy</v>
      </c>
      <c r="O215" s="6" t="s">
        <v>29</v>
      </c>
      <c r="P215" s="6" t="str">
        <f>_xlfn.XLOOKUP(Q215,'[1]Governance Dimension_Topics'!$C$3:$C$16,'[1]Governance Dimension_Topics'!$B$3:$B$16,"None",0)</f>
        <v>Institutional</v>
      </c>
      <c r="Q215" s="6" t="s">
        <v>37</v>
      </c>
      <c r="R215" s="6" t="str">
        <f>_xlfn.XLOOKUP(S215,'[1]Governance Dimension_Topics'!$C$3:$C$16,'[1]Governance Dimension_Topics'!$B$3:$B$16,"None",0)</f>
        <v>Legal</v>
      </c>
      <c r="S215" s="6" t="s">
        <v>94</v>
      </c>
      <c r="T215" s="6" t="str">
        <f>_xlfn.XLOOKUP(U215,'[1]Governance Dimension_Topics'!$C$3:$C$16,'[1]Governance Dimension_Topics'!$B$3:$B$16,"None",0)</f>
        <v>Legal</v>
      </c>
      <c r="U215" s="6" t="s">
        <v>39</v>
      </c>
      <c r="V215" s="6"/>
      <c r="W215" s="6"/>
      <c r="X215" s="6" t="s">
        <v>31</v>
      </c>
      <c r="Y215" s="6"/>
    </row>
    <row r="216" spans="1:25" x14ac:dyDescent="0.25">
      <c r="A216" s="20" t="s">
        <v>278</v>
      </c>
      <c r="B216" s="21">
        <v>46066</v>
      </c>
      <c r="C216" s="6" t="s">
        <v>280</v>
      </c>
      <c r="D216" s="6" t="s">
        <v>266</v>
      </c>
      <c r="E216" s="6" t="s">
        <v>123</v>
      </c>
      <c r="F216" s="6" t="s">
        <v>34</v>
      </c>
      <c r="G216" s="6" t="s">
        <v>26</v>
      </c>
      <c r="H216" s="6" t="s">
        <v>394</v>
      </c>
      <c r="I216" s="6" t="s">
        <v>174</v>
      </c>
      <c r="J216" s="6"/>
      <c r="K216" s="6"/>
      <c r="L216" s="6" t="s">
        <v>171</v>
      </c>
      <c r="M216" s="6" t="s">
        <v>225</v>
      </c>
      <c r="N216" s="6" t="str">
        <f>_xlfn.XLOOKUP(O216,'[1]Governance Dimension_Topics'!$C$3:$C$16,'[1]Governance Dimension_Topics'!$B$3:$B$16,"None",0)</f>
        <v>Legal</v>
      </c>
      <c r="O216" s="6" t="s">
        <v>94</v>
      </c>
      <c r="P216" s="6" t="str">
        <f>_xlfn.XLOOKUP(Q216,'[1]Governance Dimension_Topics'!$C$3:$C$16,'[1]Governance Dimension_Topics'!$B$3:$B$16,"None",0)</f>
        <v>Institutional</v>
      </c>
      <c r="Q216" s="6" t="s">
        <v>37</v>
      </c>
      <c r="R216" s="6" t="str">
        <f>_xlfn.XLOOKUP(S216,'[1]Governance Dimension_Topics'!$C$3:$C$16,'[1]Governance Dimension_Topics'!$B$3:$B$16,"None",0)</f>
        <v>Institutional</v>
      </c>
      <c r="S216" s="6" t="s">
        <v>51</v>
      </c>
      <c r="T216" s="6"/>
      <c r="U216" s="6"/>
      <c r="V216" s="6"/>
      <c r="W216" s="6"/>
      <c r="X216" s="6" t="s">
        <v>31</v>
      </c>
      <c r="Y216" s="6"/>
    </row>
    <row r="217" spans="1:25" x14ac:dyDescent="0.25">
      <c r="A217" s="20" t="s">
        <v>278</v>
      </c>
      <c r="B217" s="21">
        <v>46066</v>
      </c>
      <c r="C217" s="6" t="s">
        <v>280</v>
      </c>
      <c r="D217" s="6" t="s">
        <v>266</v>
      </c>
      <c r="E217" s="6" t="s">
        <v>33</v>
      </c>
      <c r="F217" s="6" t="s">
        <v>25</v>
      </c>
      <c r="G217" s="6" t="s">
        <v>26</v>
      </c>
      <c r="H217" s="6" t="s">
        <v>395</v>
      </c>
      <c r="I217" s="6" t="s">
        <v>174</v>
      </c>
      <c r="J217" s="6" t="s">
        <v>213</v>
      </c>
      <c r="K217" s="6"/>
      <c r="L217" s="6" t="s">
        <v>438</v>
      </c>
      <c r="M217" s="6" t="s">
        <v>180</v>
      </c>
      <c r="N217" s="6" t="str">
        <f>_xlfn.XLOOKUP(O217,'[1]Governance Dimension_Topics'!$C$3:$C$16,'[1]Governance Dimension_Topics'!$B$3:$B$16,"None",0)</f>
        <v>Political Economy</v>
      </c>
      <c r="O217" s="6" t="s">
        <v>29</v>
      </c>
      <c r="P217" s="6" t="str">
        <f>_xlfn.XLOOKUP(Q217,'[1]Governance Dimension_Topics'!$C$3:$C$16,'[1]Governance Dimension_Topics'!$B$3:$B$16,"None",0)</f>
        <v>Development</v>
      </c>
      <c r="Q217" s="6" t="s">
        <v>93</v>
      </c>
      <c r="R217" s="6" t="str">
        <f>_xlfn.XLOOKUP(S217,'[1]Governance Dimension_Topics'!$C$3:$C$16,'[1]Governance Dimension_Topics'!$B$3:$B$16,"None",0)</f>
        <v>Institutional</v>
      </c>
      <c r="S217" s="6" t="s">
        <v>51</v>
      </c>
      <c r="T217" s="6" t="str">
        <f>_xlfn.XLOOKUP(U217,'[1]Governance Dimension_Topics'!$C$3:$C$16,'[1]Governance Dimension_Topics'!$B$3:$B$16,"None",0)</f>
        <v>Institutional</v>
      </c>
      <c r="U217" s="6" t="s">
        <v>37</v>
      </c>
      <c r="V217" s="6" t="str">
        <f>_xlfn.XLOOKUP(W217,'[1]Governance Dimension_Topics'!$C$3:$C$16,'[1]Governance Dimension_Topics'!$B$3:$B$16,"None",0)</f>
        <v>Legal</v>
      </c>
      <c r="W217" s="6" t="s">
        <v>39</v>
      </c>
      <c r="X217" s="6" t="s">
        <v>31</v>
      </c>
      <c r="Y217" s="6"/>
    </row>
    <row r="218" spans="1:25" x14ac:dyDescent="0.25">
      <c r="A218" s="20" t="s">
        <v>278</v>
      </c>
      <c r="B218" s="21">
        <v>46066</v>
      </c>
      <c r="C218" s="6" t="s">
        <v>280</v>
      </c>
      <c r="D218" s="6" t="s">
        <v>266</v>
      </c>
      <c r="E218" s="6" t="s">
        <v>54</v>
      </c>
      <c r="F218" s="6" t="s">
        <v>230</v>
      </c>
      <c r="G218" s="6" t="s">
        <v>26</v>
      </c>
      <c r="H218" s="6" t="s">
        <v>396</v>
      </c>
      <c r="I218" s="6" t="s">
        <v>174</v>
      </c>
      <c r="J218" s="6"/>
      <c r="K218" s="6"/>
      <c r="L218" s="6" t="s">
        <v>171</v>
      </c>
      <c r="M218" s="6" t="s">
        <v>225</v>
      </c>
      <c r="N218" s="6" t="str">
        <f>_xlfn.XLOOKUP(O218,'[1]Governance Dimension_Topics'!$C$3:$C$16,'[1]Governance Dimension_Topics'!$B$3:$B$16,"None",0)</f>
        <v>Political Economy</v>
      </c>
      <c r="O218" s="6" t="s">
        <v>29</v>
      </c>
      <c r="P218" s="6" t="str">
        <f>_xlfn.XLOOKUP(Q218,'[1]Governance Dimension_Topics'!$C$3:$C$16,'[1]Governance Dimension_Topics'!$B$3:$B$16,"None",0)</f>
        <v>Institutional</v>
      </c>
      <c r="Q218" s="6" t="s">
        <v>37</v>
      </c>
      <c r="R218" s="6"/>
      <c r="S218" s="6"/>
      <c r="T218" s="6"/>
      <c r="U218" s="6"/>
      <c r="V218" s="6"/>
      <c r="W218" s="6"/>
      <c r="X218" s="6" t="s">
        <v>48</v>
      </c>
      <c r="Y218" s="6"/>
    </row>
    <row r="219" spans="1:25" x14ac:dyDescent="0.25">
      <c r="A219" s="20" t="s">
        <v>278</v>
      </c>
      <c r="B219" s="21">
        <v>46066</v>
      </c>
      <c r="C219" s="6" t="s">
        <v>280</v>
      </c>
      <c r="D219" s="6" t="s">
        <v>266</v>
      </c>
      <c r="E219" s="6" t="s">
        <v>45</v>
      </c>
      <c r="F219" s="6" t="s">
        <v>25</v>
      </c>
      <c r="G219" s="6" t="s">
        <v>26</v>
      </c>
      <c r="H219" s="6" t="s">
        <v>397</v>
      </c>
      <c r="I219" s="6" t="s">
        <v>162</v>
      </c>
      <c r="J219" s="6" t="s">
        <v>213</v>
      </c>
      <c r="K219" s="6" t="s">
        <v>174</v>
      </c>
      <c r="L219" s="6" t="s">
        <v>438</v>
      </c>
      <c r="M219" s="6" t="s">
        <v>180</v>
      </c>
      <c r="N219" s="6" t="str">
        <f>_xlfn.XLOOKUP(O219,'[1]Governance Dimension_Topics'!$C$3:$C$16,'[1]Governance Dimension_Topics'!$B$3:$B$16,"None",0)</f>
        <v>Legal</v>
      </c>
      <c r="O219" s="6" t="s">
        <v>39</v>
      </c>
      <c r="P219" s="6" t="str">
        <f>_xlfn.XLOOKUP(Q219,'[1]Governance Dimension_Topics'!$C$3:$C$16,'[1]Governance Dimension_Topics'!$B$3:$B$16,"None",0)</f>
        <v>Political Economy</v>
      </c>
      <c r="Q219" s="6" t="s">
        <v>29</v>
      </c>
      <c r="R219" s="6" t="str">
        <f>_xlfn.XLOOKUP(S219,'[1]Governance Dimension_Topics'!$C$3:$C$16,'[1]Governance Dimension_Topics'!$B$3:$B$16,"None",0)</f>
        <v>Legal</v>
      </c>
      <c r="S219" s="6" t="s">
        <v>94</v>
      </c>
      <c r="T219" s="6" t="str">
        <f>_xlfn.XLOOKUP(U219,'[1]Governance Dimension_Topics'!$C$3:$C$16,'[1]Governance Dimension_Topics'!$B$3:$B$16,"None",0)</f>
        <v>Economic</v>
      </c>
      <c r="U219" s="6" t="s">
        <v>35</v>
      </c>
      <c r="V219" s="6" t="str">
        <f>_xlfn.XLOOKUP(W219,'[1]Governance Dimension_Topics'!$C$3:$C$16,'[1]Governance Dimension_Topics'!$B$3:$B$16,"None",0)</f>
        <v>Institutional</v>
      </c>
      <c r="W219" s="6" t="s">
        <v>37</v>
      </c>
      <c r="X219" s="6" t="s">
        <v>31</v>
      </c>
      <c r="Y219" s="6"/>
    </row>
    <row r="220" spans="1:25" x14ac:dyDescent="0.25">
      <c r="A220" s="20" t="s">
        <v>278</v>
      </c>
      <c r="B220" s="21">
        <v>46066</v>
      </c>
      <c r="C220" s="6" t="s">
        <v>280</v>
      </c>
      <c r="D220" s="6" t="s">
        <v>266</v>
      </c>
      <c r="E220" s="6" t="s">
        <v>390</v>
      </c>
      <c r="F220" s="6" t="s">
        <v>25</v>
      </c>
      <c r="G220" s="6" t="s">
        <v>26</v>
      </c>
      <c r="H220" s="6" t="s">
        <v>398</v>
      </c>
      <c r="I220" s="6" t="s">
        <v>162</v>
      </c>
      <c r="J220" s="6" t="s">
        <v>174</v>
      </c>
      <c r="K220" s="6"/>
      <c r="L220" s="6" t="s">
        <v>438</v>
      </c>
      <c r="M220" s="6" t="s">
        <v>180</v>
      </c>
      <c r="N220" s="6" t="str">
        <f>_xlfn.XLOOKUP(O220,'[1]Governance Dimension_Topics'!$C$3:$C$16,'[1]Governance Dimension_Topics'!$B$3:$B$16,"None",0)</f>
        <v>Legal</v>
      </c>
      <c r="O220" s="6" t="s">
        <v>39</v>
      </c>
      <c r="P220" s="6" t="str">
        <f>_xlfn.XLOOKUP(Q220,'[1]Governance Dimension_Topics'!$C$3:$C$16,'[1]Governance Dimension_Topics'!$B$3:$B$16,"None",0)</f>
        <v>Political Economy</v>
      </c>
      <c r="Q220" s="6" t="s">
        <v>29</v>
      </c>
      <c r="R220" s="6" t="str">
        <f>_xlfn.XLOOKUP(S220,'[1]Governance Dimension_Topics'!$C$3:$C$16,'[1]Governance Dimension_Topics'!$B$3:$B$16,"None",0)</f>
        <v>Institutional</v>
      </c>
      <c r="S220" s="6" t="s">
        <v>37</v>
      </c>
      <c r="T220" s="6" t="str">
        <f>_xlfn.XLOOKUP(U220,'[1]Governance Dimension_Topics'!$C$3:$C$16,'[1]Governance Dimension_Topics'!$B$3:$B$16,"None",0)</f>
        <v>Development</v>
      </c>
      <c r="U220" s="6" t="s">
        <v>93</v>
      </c>
      <c r="V220" s="6"/>
      <c r="W220" s="6"/>
      <c r="X220" s="6" t="s">
        <v>31</v>
      </c>
      <c r="Y220" s="6"/>
    </row>
    <row r="221" spans="1:25" x14ac:dyDescent="0.25">
      <c r="A221" s="20" t="s">
        <v>278</v>
      </c>
      <c r="B221" s="21">
        <v>46066</v>
      </c>
      <c r="C221" s="6" t="s">
        <v>280</v>
      </c>
      <c r="D221" s="6" t="s">
        <v>266</v>
      </c>
      <c r="E221" s="6" t="s">
        <v>399</v>
      </c>
      <c r="F221" s="6" t="s">
        <v>55</v>
      </c>
      <c r="G221" s="6" t="s">
        <v>26</v>
      </c>
      <c r="H221" s="6" t="s">
        <v>400</v>
      </c>
      <c r="I221" s="6" t="s">
        <v>174</v>
      </c>
      <c r="J221" s="6"/>
      <c r="K221" s="6"/>
      <c r="L221" s="6" t="s">
        <v>171</v>
      </c>
      <c r="M221" s="6" t="s">
        <v>225</v>
      </c>
      <c r="N221" s="6" t="str">
        <f>_xlfn.XLOOKUP(O221,'[1]Governance Dimension_Topics'!$C$3:$C$16,'[1]Governance Dimension_Topics'!$B$3:$B$16,"None",0)</f>
        <v>Institutional</v>
      </c>
      <c r="O221" s="6" t="s">
        <v>37</v>
      </c>
      <c r="P221" s="6" t="str">
        <f>_xlfn.XLOOKUP(Q221,'[1]Governance Dimension_Topics'!$C$3:$C$16,'[1]Governance Dimension_Topics'!$B$3:$B$16,"None",0)</f>
        <v>Institutional</v>
      </c>
      <c r="Q221" s="6" t="s">
        <v>51</v>
      </c>
      <c r="R221" s="6" t="str">
        <f>_xlfn.XLOOKUP(S221,'[1]Governance Dimension_Topics'!$C$3:$C$16,'[1]Governance Dimension_Topics'!$B$3:$B$16,"None",0)</f>
        <v>Development</v>
      </c>
      <c r="S221" s="6" t="s">
        <v>93</v>
      </c>
      <c r="T221" s="6"/>
      <c r="U221" s="6"/>
      <c r="V221" s="6"/>
      <c r="W221" s="6"/>
      <c r="X221" s="6" t="s">
        <v>31</v>
      </c>
      <c r="Y221" s="6"/>
    </row>
    <row r="222" spans="1:25" x14ac:dyDescent="0.25">
      <c r="A222" s="6" t="s">
        <v>402</v>
      </c>
      <c r="B222" s="14">
        <v>46086</v>
      </c>
      <c r="C222" s="6" t="s">
        <v>403</v>
      </c>
      <c r="D222" s="6" t="s">
        <v>266</v>
      </c>
      <c r="E222" s="6" t="s">
        <v>404</v>
      </c>
      <c r="F222" s="6" t="s">
        <v>34</v>
      </c>
      <c r="G222" s="6" t="s">
        <v>26</v>
      </c>
      <c r="H222" s="6" t="s">
        <v>401</v>
      </c>
      <c r="I222" s="6" t="s">
        <v>174</v>
      </c>
      <c r="J222" s="6"/>
      <c r="K222" s="6"/>
      <c r="L222" s="6" t="s">
        <v>171</v>
      </c>
      <c r="M222" s="6" t="s">
        <v>225</v>
      </c>
      <c r="N222" s="6" t="str">
        <f>_xlfn.XLOOKUP(O222,'[1]Governance Dimension_Topics'!$C$3:$C$16,'[1]Governance Dimension_Topics'!$B$3:$B$16,"None",0)</f>
        <v>Development</v>
      </c>
      <c r="O222" s="6" t="s">
        <v>188</v>
      </c>
      <c r="P222" s="6" t="str">
        <f>_xlfn.XLOOKUP(Q222,'[1]Governance Dimension_Topics'!$C$3:$C$16,'[1]Governance Dimension_Topics'!$B$3:$B$16,"None",0)</f>
        <v>Political Economy</v>
      </c>
      <c r="Q222" s="6" t="s">
        <v>29</v>
      </c>
      <c r="R222" s="6" t="str">
        <f>_xlfn.XLOOKUP(S222,'[1]Governance Dimension_Topics'!$C$3:$C$16,'[1]Governance Dimension_Topics'!$B$3:$B$16,"None",0)</f>
        <v>Development</v>
      </c>
      <c r="S222" s="6" t="s">
        <v>93</v>
      </c>
      <c r="T222" s="6" t="str">
        <f>_xlfn.XLOOKUP(U222,'[1]Governance Dimension_Topics'!$C$3:$C$16,'[1]Governance Dimension_Topics'!$B$3:$B$16,"None",0)</f>
        <v>Institutional</v>
      </c>
      <c r="U222" s="6" t="s">
        <v>37</v>
      </c>
      <c r="V222" s="6" t="str">
        <f>_xlfn.XLOOKUP(W222,'[1]Governance Dimension_Topics'!$C$3:$C$16,'[1]Governance Dimension_Topics'!$B$3:$B$16,"None",0)</f>
        <v>Institutional</v>
      </c>
      <c r="W222" s="6" t="s">
        <v>51</v>
      </c>
      <c r="X222" s="6" t="s">
        <v>31</v>
      </c>
      <c r="Y222" s="6"/>
    </row>
    <row r="223" spans="1:25" x14ac:dyDescent="0.25">
      <c r="A223" s="6" t="s">
        <v>405</v>
      </c>
      <c r="B223" s="14">
        <v>46087</v>
      </c>
      <c r="C223" s="6" t="s">
        <v>406</v>
      </c>
      <c r="D223" s="6" t="s">
        <v>266</v>
      </c>
      <c r="E223" s="6" t="s">
        <v>125</v>
      </c>
      <c r="F223" s="6" t="s">
        <v>34</v>
      </c>
      <c r="G223" s="6" t="s">
        <v>26</v>
      </c>
      <c r="H223" s="6" t="s">
        <v>401</v>
      </c>
      <c r="I223" s="6" t="s">
        <v>174</v>
      </c>
      <c r="J223" s="6"/>
      <c r="K223" s="6"/>
      <c r="L223" s="6" t="s">
        <v>171</v>
      </c>
      <c r="M223" s="6" t="s">
        <v>225</v>
      </c>
      <c r="N223" s="6" t="str">
        <f>_xlfn.XLOOKUP(O223,'[1]Governance Dimension_Topics'!$C$3:$C$16,'[1]Governance Dimension_Topics'!$B$3:$B$16,"None",0)</f>
        <v>Legal</v>
      </c>
      <c r="O223" s="6" t="s">
        <v>94</v>
      </c>
      <c r="P223" s="6" t="str">
        <f>_xlfn.XLOOKUP(Q223,'[1]Governance Dimension_Topics'!$C$3:$C$16,'[1]Governance Dimension_Topics'!$B$3:$B$16,"None",0)</f>
        <v>Political Economy</v>
      </c>
      <c r="Q223" s="6" t="s">
        <v>29</v>
      </c>
      <c r="R223" s="6" t="str">
        <f>_xlfn.XLOOKUP(S223,'[1]Governance Dimension_Topics'!$C$3:$C$16,'[1]Governance Dimension_Topics'!$B$3:$B$16,"None",0)</f>
        <v>Institutional</v>
      </c>
      <c r="S223" s="6" t="s">
        <v>51</v>
      </c>
      <c r="T223" s="6" t="str">
        <f>_xlfn.XLOOKUP(U223,'[1]Governance Dimension_Topics'!$C$3:$C$16,'[1]Governance Dimension_Topics'!$B$3:$B$16,"None",0)</f>
        <v>Economic</v>
      </c>
      <c r="U223" s="6" t="s">
        <v>35</v>
      </c>
      <c r="V223" s="6" t="str">
        <f>_xlfn.XLOOKUP(W223,'[1]Governance Dimension_Topics'!$C$3:$C$16,'[1]Governance Dimension_Topics'!$B$3:$B$16,"None",0)</f>
        <v>Legal</v>
      </c>
      <c r="W223" s="6" t="s">
        <v>39</v>
      </c>
      <c r="X223" s="6" t="s">
        <v>31</v>
      </c>
      <c r="Y223" s="6"/>
    </row>
    <row r="224" spans="1:25" x14ac:dyDescent="0.25">
      <c r="A224" s="6" t="s">
        <v>407</v>
      </c>
      <c r="B224" s="14">
        <v>46104</v>
      </c>
      <c r="C224" s="6" t="s">
        <v>408</v>
      </c>
      <c r="D224" s="6" t="s">
        <v>266</v>
      </c>
      <c r="E224" s="6" t="s">
        <v>54</v>
      </c>
      <c r="F224" s="6" t="s">
        <v>34</v>
      </c>
      <c r="G224" s="6" t="s">
        <v>26</v>
      </c>
      <c r="H224" s="6" t="s">
        <v>401</v>
      </c>
      <c r="I224" s="6" t="s">
        <v>174</v>
      </c>
      <c r="J224" s="6"/>
      <c r="K224" s="6"/>
      <c r="L224" s="6" t="s">
        <v>171</v>
      </c>
      <c r="M224" s="6" t="s">
        <v>225</v>
      </c>
      <c r="N224" s="6" t="str">
        <f>_xlfn.XLOOKUP(O224,'[1]Governance Dimension_Topics'!$C$3:$C$16,'[1]Governance Dimension_Topics'!$B$3:$B$16,"None",0)</f>
        <v>Legal</v>
      </c>
      <c r="O224" s="6" t="s">
        <v>94</v>
      </c>
      <c r="P224" s="6" t="str">
        <f>_xlfn.XLOOKUP(Q224,'[1]Governance Dimension_Topics'!$C$3:$C$16,'[1]Governance Dimension_Topics'!$B$3:$B$16,"None",0)</f>
        <v>Political Economy</v>
      </c>
      <c r="Q224" s="6" t="s">
        <v>29</v>
      </c>
      <c r="R224" s="6" t="str">
        <f>_xlfn.XLOOKUP(S224,'[1]Governance Dimension_Topics'!$C$3:$C$16,'[1]Governance Dimension_Topics'!$B$3:$B$16,"None",0)</f>
        <v>Institutional</v>
      </c>
      <c r="S224" s="6" t="s">
        <v>51</v>
      </c>
      <c r="T224" s="6" t="str">
        <f>_xlfn.XLOOKUP(U224,'[1]Governance Dimension_Topics'!$C$3:$C$16,'[1]Governance Dimension_Topics'!$B$3:$B$16,"None",0)</f>
        <v>Legal</v>
      </c>
      <c r="U224" s="6" t="s">
        <v>39</v>
      </c>
      <c r="V224" s="6" t="str">
        <f>_xlfn.XLOOKUP(W224,'[1]Governance Dimension_Topics'!$C$3:$C$16,'[1]Governance Dimension_Topics'!$B$3:$B$16,"None",0)</f>
        <v>Economic</v>
      </c>
      <c r="W224" s="6" t="s">
        <v>35</v>
      </c>
      <c r="X224" s="6" t="s">
        <v>31</v>
      </c>
      <c r="Y224" s="6"/>
    </row>
    <row r="225" spans="1:25" x14ac:dyDescent="0.25">
      <c r="A225" s="6" t="s">
        <v>409</v>
      </c>
      <c r="B225" s="14">
        <v>46168</v>
      </c>
      <c r="C225" s="6" t="s">
        <v>410</v>
      </c>
      <c r="D225" s="6" t="s">
        <v>266</v>
      </c>
      <c r="E225" s="6" t="s">
        <v>74</v>
      </c>
      <c r="F225" s="6" t="s">
        <v>34</v>
      </c>
      <c r="G225" s="6" t="s">
        <v>204</v>
      </c>
      <c r="H225" s="6" t="s">
        <v>401</v>
      </c>
      <c r="I225" s="6" t="s">
        <v>220</v>
      </c>
      <c r="J225" s="6"/>
      <c r="K225" s="6"/>
      <c r="L225" s="6" t="s">
        <v>171</v>
      </c>
      <c r="M225" s="6" t="s">
        <v>225</v>
      </c>
      <c r="N225" s="6" t="str">
        <f>_xlfn.XLOOKUP(O225,'[1]Governance Dimension_Topics'!$C$3:$C$16,'[1]Governance Dimension_Topics'!$B$3:$B$16,"None",0)</f>
        <v>Legal</v>
      </c>
      <c r="O225" s="6" t="s">
        <v>39</v>
      </c>
      <c r="P225" s="6" t="str">
        <f>_xlfn.XLOOKUP(Q225,'[1]Governance Dimension_Topics'!$C$3:$C$16,'[1]Governance Dimension_Topics'!$B$3:$B$16,"None",0)</f>
        <v>Institutional</v>
      </c>
      <c r="Q225" s="6" t="s">
        <v>51</v>
      </c>
      <c r="R225" s="6" t="str">
        <f>_xlfn.XLOOKUP(S225,'[1]Governance Dimension_Topics'!$C$3:$C$16,'[1]Governance Dimension_Topics'!$B$3:$B$16,"None",0)</f>
        <v>Institutional</v>
      </c>
      <c r="S225" s="6" t="s">
        <v>37</v>
      </c>
      <c r="T225" s="6" t="str">
        <f>_xlfn.XLOOKUP(U225,'[1]Governance Dimension_Topics'!$C$3:$C$16,'[1]Governance Dimension_Topics'!$B$3:$B$16,"None",0)</f>
        <v>Legal</v>
      </c>
      <c r="U225" s="6" t="s">
        <v>94</v>
      </c>
      <c r="V225" s="6"/>
      <c r="W225" s="6"/>
      <c r="X225" s="6" t="s">
        <v>31</v>
      </c>
      <c r="Y225" s="6"/>
    </row>
    <row r="226" spans="1:25" x14ac:dyDescent="0.25">
      <c r="A226" s="6" t="s">
        <v>414</v>
      </c>
      <c r="B226" s="14">
        <v>46142</v>
      </c>
      <c r="C226" s="6" t="s">
        <v>280</v>
      </c>
      <c r="D226" s="6" t="s">
        <v>266</v>
      </c>
      <c r="E226" s="6" t="s">
        <v>68</v>
      </c>
      <c r="F226" s="6" t="s">
        <v>34</v>
      </c>
      <c r="G226" s="6" t="s">
        <v>204</v>
      </c>
      <c r="H226" s="6" t="s">
        <v>415</v>
      </c>
      <c r="I226" s="6" t="s">
        <v>416</v>
      </c>
      <c r="J226" s="6" t="s">
        <v>220</v>
      </c>
      <c r="L226" s="6" t="s">
        <v>171</v>
      </c>
      <c r="M226" s="6" t="s">
        <v>33</v>
      </c>
      <c r="N226" s="6" t="str">
        <f>_xlfn.XLOOKUP(O226,'[1]Governance Dimension_Topics'!$C$3:$C$16,'[1]Governance Dimension_Topics'!$B$3:$B$16,"None",0)</f>
        <v>Political Economy</v>
      </c>
      <c r="O226" s="6" t="s">
        <v>29</v>
      </c>
      <c r="P226" s="6" t="str">
        <f>_xlfn.XLOOKUP(Q226,'[1]Governance Dimension_Topics'!$C$3:$C$16,'[1]Governance Dimension_Topics'!$B$3:$B$16,"None",0)</f>
        <v>Legal</v>
      </c>
      <c r="Q226" s="6" t="s">
        <v>39</v>
      </c>
      <c r="R226" s="6" t="str">
        <f>_xlfn.XLOOKUP(S226,'[1]Governance Dimension_Topics'!$C$3:$C$16,'[1]Governance Dimension_Topics'!$B$3:$B$16,"None",0)</f>
        <v>Institutional</v>
      </c>
      <c r="S226" s="6" t="s">
        <v>37</v>
      </c>
      <c r="T226" s="6" t="str">
        <f>_xlfn.XLOOKUP(U226,'[1]Governance Dimension_Topics'!$C$3:$C$16,'[1]Governance Dimension_Topics'!$B$3:$B$16,"None",0)</f>
        <v>Economic</v>
      </c>
      <c r="U226" s="6" t="s">
        <v>35</v>
      </c>
      <c r="V226" s="6" t="str">
        <f>_xlfn.XLOOKUP(W226,'[1]Governance Dimension_Topics'!$C$3:$C$16,'[1]Governance Dimension_Topics'!$B$3:$B$16,"None",0)</f>
        <v>Regulatory</v>
      </c>
      <c r="W226" s="6" t="s">
        <v>157</v>
      </c>
      <c r="X226" s="6" t="s">
        <v>31</v>
      </c>
      <c r="Y226" s="6"/>
    </row>
    <row r="227" spans="1:25" x14ac:dyDescent="0.25">
      <c r="A227" s="6" t="s">
        <v>414</v>
      </c>
      <c r="B227" s="14">
        <v>46142</v>
      </c>
      <c r="C227" s="6" t="s">
        <v>280</v>
      </c>
      <c r="D227" s="6" t="s">
        <v>266</v>
      </c>
      <c r="E227" s="6" t="s">
        <v>68</v>
      </c>
      <c r="F227" s="6" t="s">
        <v>34</v>
      </c>
      <c r="G227" s="6" t="s">
        <v>59</v>
      </c>
      <c r="H227" s="6" t="s">
        <v>415</v>
      </c>
      <c r="I227" s="6" t="s">
        <v>231</v>
      </c>
      <c r="J227" s="6"/>
      <c r="K227" s="6"/>
      <c r="L227" s="6" t="s">
        <v>171</v>
      </c>
      <c r="M227" s="6" t="s">
        <v>33</v>
      </c>
      <c r="N227" s="6" t="str">
        <f>_xlfn.XLOOKUP(O227,'[1]Governance Dimension_Topics'!$C$3:$C$16,'[1]Governance Dimension_Topics'!$B$3:$B$16,"None",0)</f>
        <v>Political Economy</v>
      </c>
      <c r="O227" s="6" t="s">
        <v>29</v>
      </c>
      <c r="P227" s="6" t="str">
        <f>_xlfn.XLOOKUP(Q227,'[1]Governance Dimension_Topics'!$C$3:$C$16,'[1]Governance Dimension_Topics'!$B$3:$B$16,"None",0)</f>
        <v>Legal</v>
      </c>
      <c r="Q227" s="6" t="s">
        <v>39</v>
      </c>
      <c r="R227" s="6" t="str">
        <f>_xlfn.XLOOKUP(S227,'[1]Governance Dimension_Topics'!$C$3:$C$16,'[1]Governance Dimension_Topics'!$B$3:$B$16,"None",0)</f>
        <v>Institutional</v>
      </c>
      <c r="S227" s="6" t="s">
        <v>37</v>
      </c>
      <c r="T227" s="6" t="str">
        <f>_xlfn.XLOOKUP(U227,'[1]Governance Dimension_Topics'!$C$3:$C$16,'[1]Governance Dimension_Topics'!$B$3:$B$16,"None",0)</f>
        <v>Economic</v>
      </c>
      <c r="U227" s="6" t="s">
        <v>35</v>
      </c>
      <c r="V227" s="6" t="str">
        <f>_xlfn.XLOOKUP(W227,'[1]Governance Dimension_Topics'!$C$3:$C$16,'[1]Governance Dimension_Topics'!$B$3:$B$16,"None",0)</f>
        <v>Regulatory</v>
      </c>
      <c r="W227" s="6" t="s">
        <v>157</v>
      </c>
      <c r="X227" s="6" t="s">
        <v>31</v>
      </c>
      <c r="Y227" s="6"/>
    </row>
    <row r="228" spans="1:25" x14ac:dyDescent="0.25">
      <c r="A228" s="6" t="s">
        <v>414</v>
      </c>
      <c r="B228" s="14">
        <v>46142</v>
      </c>
      <c r="C228" s="6" t="s">
        <v>280</v>
      </c>
      <c r="D228" s="6" t="s">
        <v>266</v>
      </c>
      <c r="E228" s="6" t="s">
        <v>390</v>
      </c>
      <c r="F228" s="6" t="s">
        <v>25</v>
      </c>
      <c r="G228" s="6" t="s">
        <v>26</v>
      </c>
      <c r="H228" s="6" t="s">
        <v>417</v>
      </c>
      <c r="I228" s="6" t="s">
        <v>174</v>
      </c>
      <c r="J228" s="6"/>
      <c r="K228" s="6"/>
      <c r="L228" s="6" t="s">
        <v>171</v>
      </c>
      <c r="M228" s="6" t="s">
        <v>33</v>
      </c>
      <c r="N228" s="6" t="str">
        <f>_xlfn.XLOOKUP(O228,'[1]Governance Dimension_Topics'!$C$3:$C$16,'[1]Governance Dimension_Topics'!$B$3:$B$16,"None",0)</f>
        <v>Political Economy</v>
      </c>
      <c r="O228" s="6" t="s">
        <v>29</v>
      </c>
      <c r="P228" s="6" t="str">
        <f>_xlfn.XLOOKUP(Q228,'[1]Governance Dimension_Topics'!$C$3:$C$16,'[1]Governance Dimension_Topics'!$B$3:$B$16,"None",0)</f>
        <v>Development</v>
      </c>
      <c r="Q228" s="6" t="s">
        <v>188</v>
      </c>
      <c r="R228" s="6" t="str">
        <f>_xlfn.XLOOKUP(S228,'[1]Governance Dimension_Topics'!$C$3:$C$16,'[1]Governance Dimension_Topics'!$B$3:$B$16,"None",0)</f>
        <v>Institutional</v>
      </c>
      <c r="S228" s="6" t="s">
        <v>37</v>
      </c>
      <c r="T228" s="6" t="str">
        <f>_xlfn.XLOOKUP(U228,'[1]Governance Dimension_Topics'!$C$3:$C$16,'[1]Governance Dimension_Topics'!$B$3:$B$16,"None",0)</f>
        <v>Legal</v>
      </c>
      <c r="U228" s="6" t="s">
        <v>39</v>
      </c>
      <c r="V228" s="6"/>
      <c r="W228" s="6"/>
      <c r="X228" s="6" t="s">
        <v>31</v>
      </c>
      <c r="Y228" s="6"/>
    </row>
    <row r="229" spans="1:25" x14ac:dyDescent="0.25">
      <c r="A229" s="6" t="s">
        <v>414</v>
      </c>
      <c r="B229" s="14">
        <v>46142</v>
      </c>
      <c r="C229" s="6" t="s">
        <v>280</v>
      </c>
      <c r="D229" s="6" t="s">
        <v>266</v>
      </c>
      <c r="E229" s="6" t="s">
        <v>58</v>
      </c>
      <c r="F229" s="6" t="s">
        <v>25</v>
      </c>
      <c r="G229" s="6" t="s">
        <v>26</v>
      </c>
      <c r="H229" s="6" t="s">
        <v>418</v>
      </c>
      <c r="I229" s="6" t="s">
        <v>419</v>
      </c>
      <c r="J229" s="6" t="s">
        <v>174</v>
      </c>
      <c r="K229" s="6"/>
      <c r="L229" s="6" t="s">
        <v>171</v>
      </c>
      <c r="M229" s="6" t="s">
        <v>33</v>
      </c>
      <c r="N229" s="6" t="str">
        <f>_xlfn.XLOOKUP(O229,'[1]Governance Dimension_Topics'!$C$3:$C$16,'[1]Governance Dimension_Topics'!$B$3:$B$16,"None",0)</f>
        <v>Political Economy</v>
      </c>
      <c r="O229" s="6" t="s">
        <v>29</v>
      </c>
      <c r="P229" s="6" t="str">
        <f>_xlfn.XLOOKUP(Q229,'[1]Governance Dimension_Topics'!$C$3:$C$16,'[1]Governance Dimension_Topics'!$B$3:$B$16,"None",0)</f>
        <v>Legal</v>
      </c>
      <c r="Q229" s="6" t="s">
        <v>39</v>
      </c>
      <c r="R229" s="6" t="str">
        <f>_xlfn.XLOOKUP(S229,'[1]Governance Dimension_Topics'!$C$3:$C$16,'[1]Governance Dimension_Topics'!$B$3:$B$16,"None",0)</f>
        <v>Institutional</v>
      </c>
      <c r="S229" s="6" t="s">
        <v>51</v>
      </c>
      <c r="T229" s="6" t="str">
        <f>_xlfn.XLOOKUP(U229,'[1]Governance Dimension_Topics'!$C$3:$C$16,'[1]Governance Dimension_Topics'!$B$3:$B$16,"None",0)</f>
        <v>Institutional</v>
      </c>
      <c r="U229" s="6" t="s">
        <v>37</v>
      </c>
      <c r="V229" s="6"/>
      <c r="W229" s="6"/>
      <c r="X229" s="6" t="s">
        <v>31</v>
      </c>
      <c r="Y229" s="6"/>
    </row>
    <row r="230" spans="1:25" x14ac:dyDescent="0.25">
      <c r="A230" s="6" t="s">
        <v>414</v>
      </c>
      <c r="B230" s="14">
        <v>46142</v>
      </c>
      <c r="C230" s="6" t="s">
        <v>280</v>
      </c>
      <c r="D230" s="6" t="s">
        <v>266</v>
      </c>
      <c r="E230" s="6" t="s">
        <v>33</v>
      </c>
      <c r="F230" s="6" t="s">
        <v>55</v>
      </c>
      <c r="G230" s="6" t="s">
        <v>26</v>
      </c>
      <c r="H230" s="6" t="s">
        <v>420</v>
      </c>
      <c r="I230" s="6"/>
      <c r="J230" s="6"/>
      <c r="K230" s="6"/>
      <c r="L230" s="6" t="s">
        <v>171</v>
      </c>
      <c r="M230" s="6" t="s">
        <v>33</v>
      </c>
      <c r="N230" s="6" t="str">
        <f>_xlfn.XLOOKUP(O230,'[1]Governance Dimension_Topics'!$C$3:$C$16,'[1]Governance Dimension_Topics'!$B$3:$B$16,"None",0)</f>
        <v>Institutional</v>
      </c>
      <c r="O230" s="6" t="s">
        <v>37</v>
      </c>
      <c r="P230" s="6"/>
      <c r="Q230" s="6"/>
      <c r="R230" s="6"/>
      <c r="S230" s="6"/>
      <c r="T230" s="6"/>
      <c r="U230" s="6"/>
      <c r="V230" s="6"/>
      <c r="W230" s="6"/>
      <c r="X230" s="6" t="s">
        <v>31</v>
      </c>
      <c r="Y230" s="6"/>
    </row>
    <row r="231" spans="1:25" ht="30" x14ac:dyDescent="0.25">
      <c r="A231" s="6" t="s">
        <v>422</v>
      </c>
      <c r="B231" s="14">
        <v>46076</v>
      </c>
      <c r="C231" s="19" t="s">
        <v>426</v>
      </c>
      <c r="D231" s="6" t="s">
        <v>229</v>
      </c>
      <c r="E231" s="6" t="s">
        <v>423</v>
      </c>
      <c r="F231" s="6" t="s">
        <v>230</v>
      </c>
      <c r="G231" s="6" t="s">
        <v>59</v>
      </c>
      <c r="H231" s="6"/>
      <c r="I231" s="6" t="s">
        <v>231</v>
      </c>
      <c r="J231" s="6"/>
      <c r="K231" s="6"/>
      <c r="L231" s="6" t="s">
        <v>171</v>
      </c>
      <c r="M231" s="6" t="s">
        <v>225</v>
      </c>
      <c r="N231" s="6" t="str">
        <f>_xlfn.XLOOKUP(O231,'[1]Governance Dimension_Topics'!$C$3:$C$16,'[1]Governance Dimension_Topics'!$B$3:$B$16,"None",0)</f>
        <v>Political Economy</v>
      </c>
      <c r="O231" s="6" t="s">
        <v>29</v>
      </c>
      <c r="P231" s="6" t="str">
        <f>_xlfn.XLOOKUP(Q231,'[1]Governance Dimension_Topics'!$C$3:$C$16,'[1]Governance Dimension_Topics'!$B$3:$B$16,"None",0)</f>
        <v>Development</v>
      </c>
      <c r="Q231" s="6" t="s">
        <v>93</v>
      </c>
      <c r="R231" s="6" t="str">
        <f>_xlfn.XLOOKUP(S231,'[1]Governance Dimension_Topics'!$C$3:$C$16,'[1]Governance Dimension_Topics'!$B$3:$B$16,"None",0)</f>
        <v>Institutional</v>
      </c>
      <c r="S231" s="6" t="s">
        <v>37</v>
      </c>
      <c r="T231" s="6"/>
      <c r="U231" s="6"/>
      <c r="V231" s="6"/>
      <c r="W231" s="6"/>
      <c r="X231" s="6"/>
      <c r="Y231" s="6"/>
    </row>
    <row r="232" spans="1:25" ht="30" x14ac:dyDescent="0.25">
      <c r="A232" s="6" t="s">
        <v>422</v>
      </c>
      <c r="B232" s="14">
        <v>46076</v>
      </c>
      <c r="C232" s="19" t="s">
        <v>426</v>
      </c>
      <c r="D232" s="6" t="s">
        <v>229</v>
      </c>
      <c r="E232" s="6" t="s">
        <v>232</v>
      </c>
      <c r="F232" s="6" t="s">
        <v>230</v>
      </c>
      <c r="G232" s="6" t="s">
        <v>59</v>
      </c>
      <c r="H232" s="6"/>
      <c r="I232" s="6" t="s">
        <v>231</v>
      </c>
      <c r="J232" s="6"/>
      <c r="K232" s="6"/>
      <c r="L232" s="6" t="s">
        <v>171</v>
      </c>
      <c r="M232" s="6" t="s">
        <v>225</v>
      </c>
      <c r="N232" s="6" t="str">
        <f>_xlfn.XLOOKUP(O232,'[1]Governance Dimension_Topics'!$C$3:$C$16,'[1]Governance Dimension_Topics'!$B$3:$B$16,"None",0)</f>
        <v>Development</v>
      </c>
      <c r="O232" s="6" t="s">
        <v>188</v>
      </c>
      <c r="P232" s="6" t="str">
        <f>_xlfn.XLOOKUP(Q232,'[1]Governance Dimension_Topics'!$C$3:$C$16,'[1]Governance Dimension_Topics'!$B$3:$B$16,"None",0)</f>
        <v>Institutional</v>
      </c>
      <c r="Q232" s="6" t="s">
        <v>51</v>
      </c>
      <c r="R232" s="6" t="str">
        <f>_xlfn.XLOOKUP(S232,'[1]Governance Dimension_Topics'!$C$3:$C$16,'[1]Governance Dimension_Topics'!$B$3:$B$16,"None",0)</f>
        <v>Development</v>
      </c>
      <c r="S232" s="6" t="s">
        <v>111</v>
      </c>
      <c r="T232" s="6"/>
      <c r="U232" s="6"/>
      <c r="V232" s="6"/>
      <c r="W232" s="6"/>
      <c r="X232" s="6"/>
      <c r="Y232" s="6"/>
    </row>
    <row r="233" spans="1:25" x14ac:dyDescent="0.25">
      <c r="A233" s="6" t="s">
        <v>424</v>
      </c>
      <c r="B233" s="14">
        <v>46135</v>
      </c>
      <c r="C233" s="6" t="s">
        <v>427</v>
      </c>
      <c r="D233" s="6" t="s">
        <v>425</v>
      </c>
      <c r="E233" s="6" t="s">
        <v>238</v>
      </c>
      <c r="F233" s="6" t="s">
        <v>230</v>
      </c>
      <c r="G233" s="6" t="s">
        <v>59</v>
      </c>
      <c r="H233" s="6"/>
      <c r="I233" s="6" t="s">
        <v>231</v>
      </c>
      <c r="J233" s="6"/>
      <c r="K233" s="6"/>
      <c r="L233" s="6" t="s">
        <v>171</v>
      </c>
      <c r="M233" s="6" t="s">
        <v>225</v>
      </c>
      <c r="N233" s="6" t="str">
        <f>_xlfn.XLOOKUP(O233,'[1]Governance Dimension_Topics'!$C$3:$C$16,'[1]Governance Dimension_Topics'!$B$3:$B$16,"None",0)</f>
        <v>Development</v>
      </c>
      <c r="O233" s="6" t="s">
        <v>188</v>
      </c>
      <c r="P233" s="6" t="str">
        <f>_xlfn.XLOOKUP(Q233,'[1]Governance Dimension_Topics'!$C$3:$C$16,'[1]Governance Dimension_Topics'!$B$3:$B$16,"None",0)</f>
        <v>Development</v>
      </c>
      <c r="Q233" s="6" t="s">
        <v>93</v>
      </c>
      <c r="R233" s="6" t="str">
        <f>_xlfn.XLOOKUP(S233,'[1]Governance Dimension_Topics'!$C$3:$C$16,'[1]Governance Dimension_Topics'!$B$3:$B$16,"None",0)</f>
        <v>Institutional</v>
      </c>
      <c r="S233" s="6" t="s">
        <v>51</v>
      </c>
      <c r="T233" s="6"/>
      <c r="U233" s="6"/>
      <c r="V233" s="6"/>
      <c r="W233" s="6"/>
      <c r="X233" s="6"/>
      <c r="Y233" s="6"/>
    </row>
    <row r="234" spans="1:25" x14ac:dyDescent="0.25">
      <c r="A234" s="6" t="s">
        <v>424</v>
      </c>
      <c r="B234" s="14">
        <v>46135</v>
      </c>
      <c r="C234" s="6" t="s">
        <v>427</v>
      </c>
      <c r="D234" s="6" t="s">
        <v>425</v>
      </c>
      <c r="E234" s="6" t="s">
        <v>244</v>
      </c>
      <c r="F234" s="6" t="s">
        <v>230</v>
      </c>
      <c r="G234" s="6" t="s">
        <v>59</v>
      </c>
      <c r="H234" s="6"/>
      <c r="I234" s="6" t="s">
        <v>231</v>
      </c>
      <c r="J234" s="6"/>
      <c r="K234" s="6"/>
      <c r="L234" s="6" t="s">
        <v>171</v>
      </c>
      <c r="M234" s="6" t="s">
        <v>225</v>
      </c>
      <c r="N234" s="6" t="str">
        <f>_xlfn.XLOOKUP(O234,'[1]Governance Dimension_Topics'!$C$3:$C$16,'[1]Governance Dimension_Topics'!$B$3:$B$16,"None",0)</f>
        <v>Development</v>
      </c>
      <c r="O234" s="6" t="s">
        <v>188</v>
      </c>
      <c r="P234" s="6" t="str">
        <f>_xlfn.XLOOKUP(Q234,'[1]Governance Dimension_Topics'!$C$3:$C$16,'[1]Governance Dimension_Topics'!$B$3:$B$16,"None",0)</f>
        <v>Political Economy</v>
      </c>
      <c r="Q234" s="6" t="s">
        <v>29</v>
      </c>
      <c r="R234" s="6" t="str">
        <f>_xlfn.XLOOKUP(S234,'[1]Governance Dimension_Topics'!$C$3:$C$16,'[1]Governance Dimension_Topics'!$B$3:$B$16,"None",0)</f>
        <v>Development</v>
      </c>
      <c r="S234" s="6" t="s">
        <v>93</v>
      </c>
      <c r="T234" s="6"/>
      <c r="U234" s="6"/>
      <c r="V234" s="6"/>
      <c r="W234" s="6"/>
      <c r="X234" s="6"/>
      <c r="Y234" s="6"/>
    </row>
  </sheetData>
  <autoFilter ref="A1:Y230" xr:uid="{00000000-0009-0000-0000-000000000000}"/>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F9876-CF86-4A57-876E-2959152C1F7D}">
  <dimension ref="A1:C12"/>
  <sheetViews>
    <sheetView topLeftCell="A4" workbookViewId="0">
      <selection activeCell="A6" sqref="A6:XFD6"/>
    </sheetView>
  </sheetViews>
  <sheetFormatPr defaultRowHeight="15" x14ac:dyDescent="0.25"/>
  <cols>
    <col min="1" max="1" width="25.42578125" customWidth="1"/>
    <col min="2" max="2" width="33.28515625" customWidth="1"/>
    <col min="3" max="3" width="46.140625" customWidth="1"/>
  </cols>
  <sheetData>
    <row r="1" spans="1:3" ht="15.75" x14ac:dyDescent="0.25">
      <c r="A1" s="10" t="s">
        <v>201</v>
      </c>
      <c r="B1" s="10" t="s">
        <v>210</v>
      </c>
      <c r="C1" s="10" t="s">
        <v>202</v>
      </c>
    </row>
    <row r="2" spans="1:3" ht="63" x14ac:dyDescent="0.25">
      <c r="A2" s="11" t="s">
        <v>59</v>
      </c>
      <c r="B2" s="11" t="s">
        <v>211</v>
      </c>
      <c r="C2" s="11" t="s">
        <v>218</v>
      </c>
    </row>
    <row r="3" spans="1:3" ht="47.25" x14ac:dyDescent="0.25">
      <c r="A3" s="11" t="s">
        <v>59</v>
      </c>
      <c r="B3" s="11" t="s">
        <v>108</v>
      </c>
      <c r="C3" s="11" t="s">
        <v>203</v>
      </c>
    </row>
    <row r="4" spans="1:3" ht="157.5" x14ac:dyDescent="0.25">
      <c r="A4" s="11" t="s">
        <v>59</v>
      </c>
      <c r="B4" s="11" t="s">
        <v>212</v>
      </c>
      <c r="C4" s="11" t="s">
        <v>219</v>
      </c>
    </row>
    <row r="5" spans="1:3" ht="47.25" x14ac:dyDescent="0.25">
      <c r="A5" s="11" t="s">
        <v>204</v>
      </c>
      <c r="B5" s="11" t="s">
        <v>205</v>
      </c>
      <c r="C5" s="11" t="s">
        <v>413</v>
      </c>
    </row>
    <row r="6" spans="1:3" ht="94.5" x14ac:dyDescent="0.25">
      <c r="A6" s="11" t="s">
        <v>204</v>
      </c>
      <c r="B6" s="11" t="s">
        <v>220</v>
      </c>
      <c r="C6" s="11" t="s">
        <v>412</v>
      </c>
    </row>
    <row r="7" spans="1:3" ht="31.5" x14ac:dyDescent="0.25">
      <c r="A7" s="11" t="s">
        <v>26</v>
      </c>
      <c r="B7" s="11" t="s">
        <v>95</v>
      </c>
      <c r="C7" s="11" t="s">
        <v>271</v>
      </c>
    </row>
    <row r="8" spans="1:3" ht="47.25" x14ac:dyDescent="0.25">
      <c r="A8" s="11" t="s">
        <v>26</v>
      </c>
      <c r="B8" s="11" t="s">
        <v>213</v>
      </c>
      <c r="C8" s="11" t="s">
        <v>206</v>
      </c>
    </row>
    <row r="9" spans="1:3" ht="47.25" x14ac:dyDescent="0.25">
      <c r="A9" s="11" t="s">
        <v>26</v>
      </c>
      <c r="B9" s="11" t="s">
        <v>134</v>
      </c>
      <c r="C9" s="11" t="s">
        <v>207</v>
      </c>
    </row>
    <row r="10" spans="1:3" ht="31.5" x14ac:dyDescent="0.25">
      <c r="A10" s="11" t="s">
        <v>26</v>
      </c>
      <c r="B10" s="11" t="s">
        <v>133</v>
      </c>
      <c r="C10" s="11" t="s">
        <v>208</v>
      </c>
    </row>
    <row r="11" spans="1:3" ht="47.25" x14ac:dyDescent="0.25">
      <c r="A11" s="11" t="s">
        <v>26</v>
      </c>
      <c r="B11" s="11" t="s">
        <v>174</v>
      </c>
      <c r="C11" s="11" t="s">
        <v>272</v>
      </c>
    </row>
    <row r="12" spans="1:3" ht="47.25" x14ac:dyDescent="0.25">
      <c r="A12" s="11" t="s">
        <v>26</v>
      </c>
      <c r="B12" s="11" t="s">
        <v>162</v>
      </c>
      <c r="C12" s="11" t="s">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6"/>
  <sheetViews>
    <sheetView topLeftCell="A7" workbookViewId="0">
      <selection activeCell="C10" sqref="C10"/>
    </sheetView>
  </sheetViews>
  <sheetFormatPr defaultRowHeight="15" x14ac:dyDescent="0.25"/>
  <cols>
    <col min="2" max="2" width="21.7109375" customWidth="1"/>
    <col min="3" max="3" width="31.7109375" customWidth="1"/>
    <col min="4" max="4" width="44" customWidth="1"/>
    <col min="5" max="5" width="41.85546875" customWidth="1"/>
  </cols>
  <sheetData>
    <row r="1" spans="2:5" ht="15.75" customHeight="1" thickBot="1" x14ac:dyDescent="0.3"/>
    <row r="2" spans="2:5" ht="16.5" customHeight="1" thickBot="1" x14ac:dyDescent="0.3">
      <c r="B2" s="1" t="s">
        <v>141</v>
      </c>
      <c r="C2" s="4" t="s">
        <v>214</v>
      </c>
      <c r="D2" s="4" t="s">
        <v>142</v>
      </c>
      <c r="E2" s="4" t="s">
        <v>143</v>
      </c>
    </row>
    <row r="3" spans="2:5" ht="90.75" thickBot="1" x14ac:dyDescent="0.3">
      <c r="B3" s="2" t="s">
        <v>38</v>
      </c>
      <c r="C3" s="5" t="s">
        <v>39</v>
      </c>
      <c r="D3" s="5" t="s">
        <v>197</v>
      </c>
      <c r="E3" s="5" t="s">
        <v>144</v>
      </c>
    </row>
    <row r="4" spans="2:5" ht="135.75" thickBot="1" x14ac:dyDescent="0.3">
      <c r="B4" s="2" t="s">
        <v>38</v>
      </c>
      <c r="C4" s="5" t="s">
        <v>94</v>
      </c>
      <c r="D4" s="5" t="s">
        <v>198</v>
      </c>
      <c r="E4" s="5" t="s">
        <v>199</v>
      </c>
    </row>
    <row r="5" spans="2:5" ht="32.25" customHeight="1" thickBot="1" x14ac:dyDescent="0.3">
      <c r="B5" s="2" t="s">
        <v>27</v>
      </c>
      <c r="C5" s="5" t="s">
        <v>35</v>
      </c>
      <c r="D5" s="5" t="s">
        <v>145</v>
      </c>
      <c r="E5" s="5" t="s">
        <v>146</v>
      </c>
    </row>
    <row r="6" spans="2:5" ht="60.75" thickBot="1" x14ac:dyDescent="0.3">
      <c r="B6" s="2" t="s">
        <v>27</v>
      </c>
      <c r="C6" s="5" t="s">
        <v>147</v>
      </c>
      <c r="D6" s="5" t="s">
        <v>196</v>
      </c>
      <c r="E6" s="5" t="s">
        <v>148</v>
      </c>
    </row>
    <row r="7" spans="2:5" ht="79.5" customHeight="1" thickBot="1" x14ac:dyDescent="0.3">
      <c r="B7" s="2" t="s">
        <v>27</v>
      </c>
      <c r="C7" s="5" t="s">
        <v>105</v>
      </c>
      <c r="D7" s="5" t="s">
        <v>149</v>
      </c>
      <c r="E7" s="5" t="s">
        <v>150</v>
      </c>
    </row>
    <row r="8" spans="2:5" ht="32.25" customHeight="1" thickBot="1" x14ac:dyDescent="0.3">
      <c r="B8" s="2" t="s">
        <v>28</v>
      </c>
      <c r="C8" s="5" t="s">
        <v>111</v>
      </c>
      <c r="D8" s="5" t="s">
        <v>336</v>
      </c>
      <c r="E8" s="5" t="s">
        <v>151</v>
      </c>
    </row>
    <row r="9" spans="2:5" ht="63.75" customHeight="1" thickBot="1" x14ac:dyDescent="0.3">
      <c r="B9" s="2" t="s">
        <v>28</v>
      </c>
      <c r="C9" s="5" t="s">
        <v>93</v>
      </c>
      <c r="D9" s="5" t="s">
        <v>187</v>
      </c>
      <c r="E9" s="5" t="s">
        <v>152</v>
      </c>
    </row>
    <row r="10" spans="2:5" ht="48" customHeight="1" thickBot="1" x14ac:dyDescent="0.3">
      <c r="B10" s="2" t="s">
        <v>28</v>
      </c>
      <c r="C10" s="5" t="s">
        <v>188</v>
      </c>
      <c r="D10" s="5" t="s">
        <v>195</v>
      </c>
      <c r="E10" s="5" t="s">
        <v>153</v>
      </c>
    </row>
    <row r="11" spans="2:5" ht="48" customHeight="1" thickBot="1" x14ac:dyDescent="0.3">
      <c r="B11" s="2" t="s">
        <v>60</v>
      </c>
      <c r="C11" s="3" t="s">
        <v>192</v>
      </c>
      <c r="D11" s="5" t="s">
        <v>194</v>
      </c>
      <c r="E11" s="5" t="s">
        <v>154</v>
      </c>
    </row>
    <row r="12" spans="2:5" ht="32.25" customHeight="1" thickBot="1" x14ac:dyDescent="0.3">
      <c r="B12" s="2" t="s">
        <v>60</v>
      </c>
      <c r="C12" t="s">
        <v>193</v>
      </c>
      <c r="D12" s="5" t="s">
        <v>155</v>
      </c>
      <c r="E12" s="5" t="s">
        <v>156</v>
      </c>
    </row>
    <row r="13" spans="2:5" ht="210.75" thickBot="1" x14ac:dyDescent="0.3">
      <c r="B13" s="2" t="s">
        <v>46</v>
      </c>
      <c r="C13" s="5" t="s">
        <v>157</v>
      </c>
      <c r="D13" s="5" t="s">
        <v>186</v>
      </c>
      <c r="E13" s="5" t="s">
        <v>158</v>
      </c>
    </row>
    <row r="14" spans="2:5" ht="126.75" customHeight="1" thickBot="1" x14ac:dyDescent="0.3">
      <c r="B14" s="2" t="s">
        <v>36</v>
      </c>
      <c r="C14" s="5" t="s">
        <v>37</v>
      </c>
      <c r="D14" s="5" t="s">
        <v>189</v>
      </c>
      <c r="E14" s="5" t="s">
        <v>159</v>
      </c>
    </row>
    <row r="15" spans="2:5" ht="48" customHeight="1" thickBot="1" x14ac:dyDescent="0.3">
      <c r="B15" s="2" t="s">
        <v>36</v>
      </c>
      <c r="C15" s="5" t="s">
        <v>51</v>
      </c>
      <c r="D15" s="5" t="s">
        <v>190</v>
      </c>
      <c r="E15" s="5" t="s">
        <v>160</v>
      </c>
    </row>
    <row r="16" spans="2:5" ht="105.75" thickBot="1" x14ac:dyDescent="0.3">
      <c r="B16" s="2" t="s">
        <v>191</v>
      </c>
      <c r="C16" s="5" t="s">
        <v>29</v>
      </c>
      <c r="D16" s="5" t="s">
        <v>200</v>
      </c>
      <c r="E16" s="5" t="s">
        <v>161</v>
      </c>
    </row>
  </sheetData>
  <autoFilter ref="B2:E2"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Domain</vt:lpstr>
      <vt:lpstr>Governance Dimension_Topics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TD Satish</cp:lastModifiedBy>
  <dcterms:created xsi:type="dcterms:W3CDTF">2026-06-19T04:09:38Z</dcterms:created>
  <dcterms:modified xsi:type="dcterms:W3CDTF">2026-07-14T02:07:04Z</dcterms:modified>
</cp:coreProperties>
</file>